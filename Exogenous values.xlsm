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asafilippandruetto/Documents/HubsModel/"/>
    </mc:Choice>
  </mc:AlternateContent>
  <xr:revisionPtr revIDLastSave="0" documentId="13_ncr:1_{52493EB5-78A9-0B45-BA11-C2FE0553E51D}" xr6:coauthVersionLast="47" xr6:coauthVersionMax="47" xr10:uidLastSave="{00000000-0000-0000-0000-000000000000}"/>
  <bookViews>
    <workbookView xWindow="40760" yWindow="2120" windowWidth="23260" windowHeight="12580" activeTab="6" xr2:uid="{00000000-000D-0000-FFFF-FFFF00000000}"/>
  </bookViews>
  <sheets>
    <sheet name="variable assumptions and source" sheetId="6" r:id="rId1"/>
    <sheet name="company" sheetId="1" r:id="rId2"/>
    <sheet name="hubs" sheetId="2" r:id="rId3"/>
    <sheet name="cost" sheetId="4" r:id="rId4"/>
    <sheet name="efficiencies" sheetId="8" r:id="rId5"/>
    <sheet name="goals" sheetId="5" r:id="rId6"/>
    <sheet name="scenarios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30" i="7" l="1"/>
  <c r="A31" i="7"/>
  <c r="A41" i="7"/>
  <c r="A42" i="7"/>
  <c r="A43" i="7"/>
  <c r="A29" i="7"/>
  <c r="K11" i="7"/>
  <c r="A39" i="7"/>
  <c r="A40" i="7"/>
  <c r="P23" i="7" l="1"/>
  <c r="O23" i="7"/>
  <c r="N23" i="7"/>
  <c r="M23" i="7"/>
  <c r="L23" i="7"/>
  <c r="K10" i="7"/>
  <c r="A36" i="7" l="1"/>
  <c r="A37" i="7"/>
  <c r="A38" i="7"/>
  <c r="A35" i="7"/>
  <c r="A26" i="7"/>
  <c r="A27" i="7"/>
  <c r="A28" i="7"/>
  <c r="K23" i="7"/>
  <c r="K24" i="7"/>
  <c r="K25" i="7"/>
  <c r="K6" i="7"/>
  <c r="K7" i="7"/>
  <c r="K8" i="7"/>
  <c r="K9" i="7"/>
  <c r="K21" i="7" l="1"/>
  <c r="K22" i="7"/>
  <c r="K20" i="7"/>
  <c r="K5" i="7"/>
  <c r="A21" i="7"/>
  <c r="A22" i="7"/>
  <c r="A23" i="7"/>
  <c r="A24" i="7"/>
  <c r="A25" i="7"/>
  <c r="A20" i="7"/>
  <c r="A6" i="7" l="1"/>
  <c r="A7" i="7"/>
  <c r="A8" i="7"/>
  <c r="A9" i="7"/>
  <c r="A5" i="7"/>
  <c r="B6" i="6" l="1"/>
  <c r="B5" i="6"/>
  <c r="B4" i="6"/>
  <c r="B14" i="6" s="1"/>
  <c r="B7" i="6" l="1"/>
  <c r="B8" i="6" s="1"/>
  <c r="E24" i="7" l="1"/>
  <c r="F24" i="7"/>
  <c r="C24" i="7"/>
  <c r="B24" i="7"/>
  <c r="D24" i="7"/>
  <c r="B15" i="6"/>
  <c r="B16" i="6" s="1"/>
</calcChain>
</file>

<file path=xl/sharedStrings.xml><?xml version="1.0" encoding="utf-8"?>
<sst xmlns="http://schemas.openxmlformats.org/spreadsheetml/2006/main" count="107" uniqueCount="85">
  <si>
    <t>total number of companies</t>
  </si>
  <si>
    <t>company contact rate</t>
  </si>
  <si>
    <t>building cost of hubs</t>
  </si>
  <si>
    <t>maximum funds per unit of time</t>
  </si>
  <si>
    <t>total demand</t>
  </si>
  <si>
    <t>single hub capacity</t>
  </si>
  <si>
    <t>Box</t>
  </si>
  <si>
    <t>Box/Hub</t>
  </si>
  <si>
    <t>Dmnl</t>
  </si>
  <si>
    <t>total operation cost of one hub</t>
  </si>
  <si>
    <t>$/Month</t>
  </si>
  <si>
    <t>initial push time</t>
  </si>
  <si>
    <t>initial company adoption fraction</t>
  </si>
  <si>
    <t>emissions of diesel trucks</t>
  </si>
  <si>
    <t>emissions of environmetally friendly vehicle types</t>
  </si>
  <si>
    <t>goal of co2 emissions</t>
  </si>
  <si>
    <t>CO2</t>
  </si>
  <si>
    <t>minimum utilization rate</t>
  </si>
  <si>
    <t>companies</t>
  </si>
  <si>
    <t>dmnl</t>
  </si>
  <si>
    <t>month</t>
  </si>
  <si>
    <t>$/hub</t>
  </si>
  <si>
    <t>$/month</t>
  </si>
  <si>
    <t>adjustment time for total utilized capacity</t>
  </si>
  <si>
    <t>Month</t>
  </si>
  <si>
    <t>average delay time in dropping out</t>
  </si>
  <si>
    <t>Calculating the total demand for stockholm</t>
  </si>
  <si>
    <t>Total population in sweden</t>
  </si>
  <si>
    <t xml:space="preserve">Total population in stockholm </t>
  </si>
  <si>
    <t>https://worldpopulationreview.com/world-cities/stockholm-population</t>
  </si>
  <si>
    <t>https://worldpopulationreview.com/countries/sweden-population</t>
  </si>
  <si>
    <t>Share of population that lives in Stockholm</t>
  </si>
  <si>
    <t>https://www.google.com/url?sa=t&amp;rct=j&amp;q=&amp;esrc=s&amp;source=web&amp;cd=&amp;ved=2ahUKEwiIweHQ2YPzAhXrkIsKHVvbBYgQFnoECAcQAQ&amp;url=https%3A%2F%2Fwww.pts.se%2Fglobalassets%2Fstartpage%2Fdokument%2Ficke-legala-dokument%2Frapporter%2F2020%2Fpost%2Fswedish-postal-market-2020.pdf&amp;usg=AOvVaw2czDNsaHt0Xe07B0P7cw6n</t>
  </si>
  <si>
    <t>Number of parcels in Sweden</t>
  </si>
  <si>
    <t>pg 37</t>
  </si>
  <si>
    <t>Number of letters in Sweden (2019) ??</t>
  </si>
  <si>
    <t>Assumption of parcels in Stockholm per year</t>
  </si>
  <si>
    <t>Assumption of parcels in Stockholm per month</t>
  </si>
  <si>
    <t>Calculating the emission factors</t>
  </si>
  <si>
    <t>Emissions for road freight - light duty vehicles - 2019</t>
  </si>
  <si>
    <t>Total Greenhouse Gases (kt CO2-eqv.)</t>
  </si>
  <si>
    <t>In stockholm</t>
  </si>
  <si>
    <t>per parcel</t>
  </si>
  <si>
    <t>kgCO2-eqv./Parcel</t>
  </si>
  <si>
    <t xml:space="preserve">swedish environmental protection agency </t>
  </si>
  <si>
    <t>Choose scenario number</t>
  </si>
  <si>
    <t>COMPANY</t>
  </si>
  <si>
    <t>HUBS</t>
  </si>
  <si>
    <t>COST</t>
  </si>
  <si>
    <t>EMISSIONS</t>
  </si>
  <si>
    <t>public sector funds on off</t>
  </si>
  <si>
    <t>private sector funds on off</t>
  </si>
  <si>
    <t>percentage of profit for hubs funds</t>
  </si>
  <si>
    <t>vehicle/company</t>
  </si>
  <si>
    <t>km/company</t>
  </si>
  <si>
    <t>cost per vehicle</t>
  </si>
  <si>
    <t>cost per km</t>
  </si>
  <si>
    <t>$/vehicle</t>
  </si>
  <si>
    <t>$/km</t>
  </si>
  <si>
    <t>initial routing efficiency</t>
  </si>
  <si>
    <t>maximum routing efficiency</t>
  </si>
  <si>
    <t>initial fill rate</t>
  </si>
  <si>
    <t>maximum fill rate</t>
  </si>
  <si>
    <t>goal of vehicle km</t>
  </si>
  <si>
    <t>vehicle*km/(Month*Month)</t>
  </si>
  <si>
    <t>minimum number of vehicles required to satisfy the demand</t>
  </si>
  <si>
    <t>minimum km required to satisfy the demand</t>
  </si>
  <si>
    <t>CO2/km</t>
  </si>
  <si>
    <t>goal of co2 emissions on off</t>
  </si>
  <si>
    <t>goal of vehicle km on off</t>
  </si>
  <si>
    <t>EFFICIENCIES</t>
  </si>
  <si>
    <t>extra handling cost per box</t>
  </si>
  <si>
    <t>$/Box</t>
  </si>
  <si>
    <t>minimum delivery time</t>
  </si>
  <si>
    <t>initial delivery time</t>
  </si>
  <si>
    <t>Hour/Box</t>
  </si>
  <si>
    <t>cost per hour</t>
  </si>
  <si>
    <t>$/Hour</t>
  </si>
  <si>
    <t>adjustment time for adding hubs</t>
  </si>
  <si>
    <t>multiplier for effect of using hub capacity on increase in routing efficiency</t>
  </si>
  <si>
    <t>multiplier for effect of using hub capacity on increase in fill rate</t>
  </si>
  <si>
    <t>multiplier for effect of using hub capacity on decrease in delivery time</t>
  </si>
  <si>
    <t>time step of scrapping</t>
  </si>
  <si>
    <t>number of hubs scrapped</t>
  </si>
  <si>
    <t>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</si>
</sst>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FF0000"/>
      <name val="Calibri"/>
      <family val="2"/>
      <scheme val="minor"/>
    </font>
    <font>
      <sz val="12"/>
      <color rgb="FF000000"/>
      <name val="Calibri"/>
      <family val="2"/>
    </font>
    <font>
      <u/>
      <sz val="1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3" fontId="0" fillId="0" borderId="0" xfId="0" applyNumberFormat="1"/>
    <xf numFmtId="2" fontId="0" fillId="0" borderId="0" xfId="0" applyNumberFormat="1"/>
    <xf numFmtId="11" fontId="0" fillId="0" borderId="0" xfId="0" applyNumberFormat="1"/>
    <xf numFmtId="11" fontId="0" fillId="2" borderId="0" xfId="0" applyNumberFormat="1" applyFill="1"/>
    <xf numFmtId="0" fontId="0" fillId="0" borderId="0" xfId="0" applyAlignment="1">
      <alignment wrapText="1"/>
    </xf>
    <xf numFmtId="164" fontId="0" fillId="0" borderId="0" xfId="0" applyNumberFormat="1"/>
    <xf numFmtId="0" fontId="2" fillId="0" borderId="0" xfId="0" applyFont="1" applyAlignment="1">
      <alignment wrapText="1"/>
    </xf>
    <xf numFmtId="0" fontId="3" fillId="3" borderId="0" xfId="0" applyFont="1" applyFill="1"/>
    <xf numFmtId="0" fontId="0" fillId="4" borderId="0" xfId="0" applyFill="1"/>
    <xf numFmtId="11" fontId="0" fillId="4" borderId="0" xfId="0" applyNumberFormat="1" applyFill="1"/>
    <xf numFmtId="0" fontId="0" fillId="0" borderId="0" xfId="0" quotePrefix="1"/>
    <xf numFmtId="0" fontId="5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635000</xdr:colOff>
          <xdr:row>0</xdr:row>
          <xdr:rowOff>50800</xdr:rowOff>
        </xdr:from>
        <xdr:to>
          <xdr:col>9</xdr:col>
          <xdr:colOff>177800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Scenarios selection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6"/>
  <sheetViews>
    <sheetView workbookViewId="0">
      <selection activeCell="B18" sqref="B18"/>
    </sheetView>
  </sheetViews>
  <sheetFormatPr baseColWidth="10" defaultColWidth="8.83203125" defaultRowHeight="16" x14ac:dyDescent="0.2"/>
  <cols>
    <col min="1" max="1" width="32.6640625" customWidth="1"/>
    <col min="2" max="2" width="11.83203125" bestFit="1" customWidth="1"/>
    <col min="3" max="3" width="32" customWidth="1"/>
  </cols>
  <sheetData>
    <row r="1" spans="1:4" x14ac:dyDescent="0.2">
      <c r="A1" s="13" t="s">
        <v>26</v>
      </c>
      <c r="B1" s="13"/>
      <c r="C1" s="13"/>
    </row>
    <row r="2" spans="1:4" ht="17" x14ac:dyDescent="0.2">
      <c r="A2" s="5" t="s">
        <v>27</v>
      </c>
      <c r="B2" s="1">
        <v>10173195</v>
      </c>
      <c r="C2" t="s">
        <v>30</v>
      </c>
    </row>
    <row r="3" spans="1:4" ht="17" x14ac:dyDescent="0.2">
      <c r="A3" s="5" t="s">
        <v>28</v>
      </c>
      <c r="B3" s="1">
        <v>1656571</v>
      </c>
      <c r="C3" t="s">
        <v>29</v>
      </c>
    </row>
    <row r="4" spans="1:4" ht="34" x14ac:dyDescent="0.2">
      <c r="A4" s="5" t="s">
        <v>31</v>
      </c>
      <c r="B4">
        <f>B3/B2</f>
        <v>0.16283684722449535</v>
      </c>
    </row>
    <row r="5" spans="1:4" ht="34" x14ac:dyDescent="0.2">
      <c r="A5" s="5" t="s">
        <v>35</v>
      </c>
      <c r="B5" s="3">
        <f>1.8055*10^9</f>
        <v>1805500000</v>
      </c>
      <c r="C5" t="s">
        <v>32</v>
      </c>
    </row>
    <row r="6" spans="1:4" ht="17" x14ac:dyDescent="0.2">
      <c r="A6" s="5" t="s">
        <v>33</v>
      </c>
      <c r="B6" s="3">
        <f>246*10^6</f>
        <v>246000000</v>
      </c>
      <c r="C6" t="s">
        <v>32</v>
      </c>
      <c r="D6" t="s">
        <v>34</v>
      </c>
    </row>
    <row r="7" spans="1:4" ht="34" x14ac:dyDescent="0.2">
      <c r="A7" s="5" t="s">
        <v>36</v>
      </c>
      <c r="B7" s="3">
        <f>B6*B4</f>
        <v>40057864.417225853</v>
      </c>
    </row>
    <row r="8" spans="1:4" ht="34" x14ac:dyDescent="0.2">
      <c r="A8" s="5" t="s">
        <v>37</v>
      </c>
      <c r="B8" s="4">
        <f>B7/12</f>
        <v>3338155.3681021542</v>
      </c>
    </row>
    <row r="12" spans="1:4" x14ac:dyDescent="0.2">
      <c r="A12" s="13" t="s">
        <v>38</v>
      </c>
      <c r="B12" s="13"/>
      <c r="C12" s="13"/>
    </row>
    <row r="13" spans="1:4" ht="34" x14ac:dyDescent="0.2">
      <c r="A13" s="5" t="s">
        <v>39</v>
      </c>
      <c r="B13" s="6">
        <v>1503.7</v>
      </c>
      <c r="C13" s="7" t="s">
        <v>40</v>
      </c>
      <c r="D13" t="s">
        <v>44</v>
      </c>
    </row>
    <row r="14" spans="1:4" x14ac:dyDescent="0.2">
      <c r="A14" t="s">
        <v>41</v>
      </c>
      <c r="B14">
        <f>B13*B4</f>
        <v>244.85776717147365</v>
      </c>
      <c r="C14" s="7" t="s">
        <v>40</v>
      </c>
    </row>
    <row r="15" spans="1:4" x14ac:dyDescent="0.2">
      <c r="A15" t="s">
        <v>42</v>
      </c>
      <c r="B15" s="3">
        <f>B14/B8</f>
        <v>7.3351219512195133E-5</v>
      </c>
      <c r="C15" s="7" t="s">
        <v>40</v>
      </c>
    </row>
    <row r="16" spans="1:4" x14ac:dyDescent="0.2">
      <c r="A16" t="s">
        <v>42</v>
      </c>
      <c r="B16" s="2">
        <f>B15*10^6</f>
        <v>73.351219512195129</v>
      </c>
      <c r="C16" s="7" t="s">
        <v>43</v>
      </c>
    </row>
  </sheetData>
  <mergeCells count="2">
    <mergeCell ref="A1:C1"/>
    <mergeCell ref="A12:C12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5"/>
  <sheetViews>
    <sheetView workbookViewId="0">
      <selection activeCell="C36" sqref="C36"/>
    </sheetView>
  </sheetViews>
  <sheetFormatPr baseColWidth="10" defaultColWidth="11" defaultRowHeight="16" x14ac:dyDescent="0.2"/>
  <cols>
    <col min="1" max="1" width="29.6640625" bestFit="1" customWidth="1"/>
    <col min="2" max="2" width="12.1640625" bestFit="1" customWidth="1"/>
  </cols>
  <sheetData>
    <row r="1" spans="1:3" x14ac:dyDescent="0.2">
      <c r="A1" t="s">
        <v>0</v>
      </c>
      <c r="B1">
        <v>50</v>
      </c>
      <c r="C1" t="s">
        <v>18</v>
      </c>
    </row>
    <row r="2" spans="1:3" x14ac:dyDescent="0.2">
      <c r="A2" t="s">
        <v>1</v>
      </c>
      <c r="B2">
        <v>0.1</v>
      </c>
      <c r="C2" t="s">
        <v>19</v>
      </c>
    </row>
    <row r="3" spans="1:3" x14ac:dyDescent="0.2">
      <c r="A3" t="s">
        <v>12</v>
      </c>
      <c r="B3">
        <v>0</v>
      </c>
      <c r="C3" t="s">
        <v>19</v>
      </c>
    </row>
    <row r="4" spans="1:3" x14ac:dyDescent="0.2">
      <c r="A4" t="s">
        <v>11</v>
      </c>
      <c r="B4">
        <v>0</v>
      </c>
      <c r="C4" t="s">
        <v>20</v>
      </c>
    </row>
    <row r="5" spans="1:3" x14ac:dyDescent="0.2">
      <c r="A5" t="s">
        <v>25</v>
      </c>
      <c r="B5">
        <v>36</v>
      </c>
      <c r="C5" t="s">
        <v>20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"/>
  <sheetViews>
    <sheetView workbookViewId="0">
      <selection activeCell="A13" sqref="A13"/>
    </sheetView>
  </sheetViews>
  <sheetFormatPr baseColWidth="10" defaultColWidth="11" defaultRowHeight="16" x14ac:dyDescent="0.2"/>
  <cols>
    <col min="1" max="1" width="36.6640625" bestFit="1" customWidth="1"/>
    <col min="2" max="2" width="12.33203125" bestFit="1" customWidth="1"/>
  </cols>
  <sheetData>
    <row r="1" spans="1:3" x14ac:dyDescent="0.2">
      <c r="A1" t="s">
        <v>2</v>
      </c>
      <c r="B1">
        <v>100000</v>
      </c>
      <c r="C1" t="s">
        <v>21</v>
      </c>
    </row>
    <row r="2" spans="1:3" x14ac:dyDescent="0.2">
      <c r="A2" t="s">
        <v>3</v>
      </c>
      <c r="B2">
        <v>10000</v>
      </c>
      <c r="C2" t="s">
        <v>22</v>
      </c>
    </row>
    <row r="3" spans="1:3" x14ac:dyDescent="0.2">
      <c r="A3" t="s">
        <v>17</v>
      </c>
      <c r="B3">
        <v>0.9</v>
      </c>
      <c r="C3" t="s">
        <v>8</v>
      </c>
    </row>
    <row r="4" spans="1:3" x14ac:dyDescent="0.2">
      <c r="A4" t="s">
        <v>23</v>
      </c>
      <c r="B4">
        <v>24</v>
      </c>
      <c r="C4" t="s">
        <v>24</v>
      </c>
    </row>
    <row r="5" spans="1:3" x14ac:dyDescent="0.2">
      <c r="A5" t="s">
        <v>4</v>
      </c>
      <c r="B5">
        <v>3338155.3681021542</v>
      </c>
      <c r="C5" t="s">
        <v>6</v>
      </c>
    </row>
    <row r="6" spans="1:3" x14ac:dyDescent="0.2">
      <c r="A6" t="s">
        <v>5</v>
      </c>
      <c r="B6">
        <v>300000</v>
      </c>
      <c r="C6" t="s">
        <v>7</v>
      </c>
    </row>
    <row r="7" spans="1:3" x14ac:dyDescent="0.2">
      <c r="A7" t="s">
        <v>50</v>
      </c>
      <c r="B7">
        <v>1</v>
      </c>
      <c r="C7" t="s">
        <v>8</v>
      </c>
    </row>
    <row r="8" spans="1:3" x14ac:dyDescent="0.2">
      <c r="A8" t="s">
        <v>51</v>
      </c>
      <c r="B8">
        <v>0</v>
      </c>
      <c r="C8" t="s">
        <v>8</v>
      </c>
    </row>
    <row r="9" spans="1:3" x14ac:dyDescent="0.2">
      <c r="A9" t="s">
        <v>52</v>
      </c>
      <c r="B9">
        <v>0</v>
      </c>
      <c r="C9" t="s">
        <v>8</v>
      </c>
    </row>
    <row r="10" spans="1:3" x14ac:dyDescent="0.2">
      <c r="A10" t="s">
        <v>78</v>
      </c>
      <c r="B10">
        <v>24</v>
      </c>
      <c r="C10" t="s">
        <v>24</v>
      </c>
    </row>
    <row r="11" spans="1:3" x14ac:dyDescent="0.2">
      <c r="A11" t="s">
        <v>82</v>
      </c>
      <c r="B11">
        <v>0</v>
      </c>
      <c r="C11" t="s">
        <v>24</v>
      </c>
    </row>
    <row r="12" spans="1:3" x14ac:dyDescent="0.2">
      <c r="A12" t="s">
        <v>83</v>
      </c>
      <c r="B12">
        <v>0</v>
      </c>
      <c r="C12" t="s">
        <v>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7"/>
  <sheetViews>
    <sheetView workbookViewId="0">
      <selection activeCell="B7" sqref="B7"/>
    </sheetView>
  </sheetViews>
  <sheetFormatPr baseColWidth="10" defaultColWidth="8.83203125" defaultRowHeight="16" x14ac:dyDescent="0.2"/>
  <cols>
    <col min="1" max="1" width="47.83203125" bestFit="1" customWidth="1"/>
  </cols>
  <sheetData>
    <row r="1" spans="1:3" x14ac:dyDescent="0.2">
      <c r="A1" t="s">
        <v>9</v>
      </c>
      <c r="B1">
        <v>100</v>
      </c>
      <c r="C1" t="s">
        <v>10</v>
      </c>
    </row>
    <row r="2" spans="1:3" x14ac:dyDescent="0.2">
      <c r="A2" t="s">
        <v>65</v>
      </c>
      <c r="B2">
        <v>1</v>
      </c>
      <c r="C2" t="s">
        <v>53</v>
      </c>
    </row>
    <row r="3" spans="1:3" x14ac:dyDescent="0.2">
      <c r="A3" t="s">
        <v>66</v>
      </c>
      <c r="B3">
        <v>1</v>
      </c>
      <c r="C3" t="s">
        <v>54</v>
      </c>
    </row>
    <row r="4" spans="1:3" x14ac:dyDescent="0.2">
      <c r="A4" t="s">
        <v>55</v>
      </c>
      <c r="B4">
        <v>50</v>
      </c>
      <c r="C4" t="s">
        <v>57</v>
      </c>
    </row>
    <row r="5" spans="1:3" x14ac:dyDescent="0.2">
      <c r="A5" t="s">
        <v>56</v>
      </c>
      <c r="B5">
        <v>50</v>
      </c>
      <c r="C5" t="s">
        <v>58</v>
      </c>
    </row>
    <row r="6" spans="1:3" x14ac:dyDescent="0.2">
      <c r="A6" t="s">
        <v>71</v>
      </c>
      <c r="B6">
        <v>1</v>
      </c>
      <c r="C6" t="s">
        <v>72</v>
      </c>
    </row>
    <row r="7" spans="1:3" x14ac:dyDescent="0.2">
      <c r="A7" t="s">
        <v>76</v>
      </c>
      <c r="B7">
        <v>10</v>
      </c>
      <c r="C7" t="s">
        <v>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C9"/>
  <sheetViews>
    <sheetView workbookViewId="0">
      <selection activeCell="A7" sqref="A7"/>
    </sheetView>
  </sheetViews>
  <sheetFormatPr baseColWidth="10" defaultColWidth="8.83203125" defaultRowHeight="16" x14ac:dyDescent="0.2"/>
  <cols>
    <col min="1" max="1" width="63.83203125" bestFit="1" customWidth="1"/>
  </cols>
  <sheetData>
    <row r="1" spans="1:3" x14ac:dyDescent="0.2">
      <c r="A1" t="s">
        <v>59</v>
      </c>
      <c r="B1">
        <v>0.7</v>
      </c>
      <c r="C1" t="s">
        <v>8</v>
      </c>
    </row>
    <row r="2" spans="1:3" x14ac:dyDescent="0.2">
      <c r="A2" t="s">
        <v>60</v>
      </c>
      <c r="B2">
        <v>0.9</v>
      </c>
      <c r="C2" t="s">
        <v>8</v>
      </c>
    </row>
    <row r="3" spans="1:3" x14ac:dyDescent="0.2">
      <c r="A3" t="s">
        <v>61</v>
      </c>
      <c r="B3">
        <v>0.6</v>
      </c>
      <c r="C3" t="s">
        <v>8</v>
      </c>
    </row>
    <row r="4" spans="1:3" x14ac:dyDescent="0.2">
      <c r="A4" t="s">
        <v>62</v>
      </c>
      <c r="B4">
        <v>0.8</v>
      </c>
      <c r="C4" t="s">
        <v>8</v>
      </c>
    </row>
    <row r="5" spans="1:3" x14ac:dyDescent="0.2">
      <c r="A5" t="s">
        <v>73</v>
      </c>
      <c r="B5">
        <v>3</v>
      </c>
      <c r="C5" t="s">
        <v>75</v>
      </c>
    </row>
    <row r="6" spans="1:3" x14ac:dyDescent="0.2">
      <c r="A6" t="s">
        <v>74</v>
      </c>
      <c r="B6">
        <v>5</v>
      </c>
      <c r="C6" t="s">
        <v>75</v>
      </c>
    </row>
    <row r="7" spans="1:3" x14ac:dyDescent="0.2">
      <c r="A7" t="s">
        <v>79</v>
      </c>
      <c r="B7">
        <v>5</v>
      </c>
      <c r="C7" t="s">
        <v>8</v>
      </c>
    </row>
    <row r="8" spans="1:3" x14ac:dyDescent="0.2">
      <c r="A8" t="s">
        <v>80</v>
      </c>
      <c r="B8">
        <v>5</v>
      </c>
      <c r="C8" t="s">
        <v>8</v>
      </c>
    </row>
    <row r="9" spans="1:3" x14ac:dyDescent="0.2">
      <c r="A9" t="s">
        <v>81</v>
      </c>
      <c r="B9">
        <v>5</v>
      </c>
      <c r="C9" t="s">
        <v>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C6"/>
  <sheetViews>
    <sheetView workbookViewId="0">
      <selection activeCell="B4" sqref="B4:B6"/>
    </sheetView>
  </sheetViews>
  <sheetFormatPr baseColWidth="10" defaultColWidth="8.83203125" defaultRowHeight="16" x14ac:dyDescent="0.2"/>
  <cols>
    <col min="1" max="1" width="42.33203125" bestFit="1" customWidth="1"/>
    <col min="2" max="2" width="10.83203125" bestFit="1" customWidth="1"/>
  </cols>
  <sheetData>
    <row r="1" spans="1:3" x14ac:dyDescent="0.2">
      <c r="A1" t="s">
        <v>13</v>
      </c>
      <c r="B1">
        <v>100</v>
      </c>
      <c r="C1" t="s">
        <v>67</v>
      </c>
    </row>
    <row r="2" spans="1:3" x14ac:dyDescent="0.2">
      <c r="A2" t="s">
        <v>14</v>
      </c>
      <c r="B2">
        <v>1</v>
      </c>
      <c r="C2" t="s">
        <v>67</v>
      </c>
    </row>
    <row r="3" spans="1:3" x14ac:dyDescent="0.2">
      <c r="A3" t="s">
        <v>15</v>
      </c>
      <c r="B3">
        <v>300000000</v>
      </c>
      <c r="C3" t="s">
        <v>16</v>
      </c>
    </row>
    <row r="4" spans="1:3" x14ac:dyDescent="0.2">
      <c r="A4" t="s">
        <v>63</v>
      </c>
      <c r="B4">
        <v>20000000000000</v>
      </c>
      <c r="C4" t="s">
        <v>64</v>
      </c>
    </row>
    <row r="5" spans="1:3" x14ac:dyDescent="0.2">
      <c r="A5" t="s">
        <v>68</v>
      </c>
      <c r="B5">
        <v>1</v>
      </c>
      <c r="C5" t="s">
        <v>8</v>
      </c>
    </row>
    <row r="6" spans="1:3" x14ac:dyDescent="0.2">
      <c r="A6" t="s">
        <v>69</v>
      </c>
      <c r="B6">
        <v>1</v>
      </c>
      <c r="C6" t="s">
        <v>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Q43"/>
  <sheetViews>
    <sheetView tabSelected="1" zoomScale="80" zoomScaleNormal="80" workbookViewId="0">
      <selection activeCell="A44" sqref="A44"/>
    </sheetView>
  </sheetViews>
  <sheetFormatPr baseColWidth="10" defaultColWidth="8.83203125" defaultRowHeight="16" x14ac:dyDescent="0.2"/>
  <cols>
    <col min="1" max="1" width="26.1640625" style="5" customWidth="1"/>
    <col min="11" max="11" width="20.33203125" style="5" customWidth="1"/>
  </cols>
  <sheetData>
    <row r="1" spans="1:17" x14ac:dyDescent="0.2">
      <c r="B1" s="14" t="s">
        <v>45</v>
      </c>
      <c r="C1" s="14"/>
      <c r="D1" s="14"/>
      <c r="E1" s="8">
        <v>1</v>
      </c>
    </row>
    <row r="3" spans="1:17" x14ac:dyDescent="0.2">
      <c r="B3" t="s">
        <v>46</v>
      </c>
      <c r="L3" t="s">
        <v>48</v>
      </c>
    </row>
    <row r="4" spans="1:17" x14ac:dyDescent="0.2">
      <c r="B4" s="11">
        <v>0</v>
      </c>
      <c r="C4">
        <v>1</v>
      </c>
      <c r="D4">
        <v>2</v>
      </c>
      <c r="E4">
        <v>3</v>
      </c>
      <c r="F4">
        <v>4</v>
      </c>
      <c r="G4">
        <v>5</v>
      </c>
      <c r="L4" s="11">
        <v>0</v>
      </c>
      <c r="M4">
        <v>1</v>
      </c>
      <c r="N4">
        <v>2</v>
      </c>
      <c r="O4">
        <v>3</v>
      </c>
      <c r="P4">
        <v>4</v>
      </c>
      <c r="Q4">
        <v>5</v>
      </c>
    </row>
    <row r="5" spans="1:17" ht="34" x14ac:dyDescent="0.2">
      <c r="A5" s="5" t="str">
        <f>company!A1</f>
        <v>total number of companies</v>
      </c>
      <c r="B5">
        <v>50</v>
      </c>
      <c r="C5" s="9">
        <v>50</v>
      </c>
      <c r="D5">
        <v>50</v>
      </c>
      <c r="E5">
        <v>50</v>
      </c>
      <c r="F5">
        <v>50</v>
      </c>
      <c r="K5" s="5" t="str">
        <f>cost!A1</f>
        <v>total operation cost of one hub</v>
      </c>
      <c r="L5">
        <v>100</v>
      </c>
      <c r="M5" s="9">
        <v>100</v>
      </c>
      <c r="N5">
        <v>100</v>
      </c>
      <c r="O5">
        <v>100</v>
      </c>
      <c r="P5">
        <v>100</v>
      </c>
    </row>
    <row r="6" spans="1:17" ht="51" x14ac:dyDescent="0.2">
      <c r="A6" s="5" t="str">
        <f>company!A2</f>
        <v>company contact rate</v>
      </c>
      <c r="B6">
        <v>0.1</v>
      </c>
      <c r="C6" s="9">
        <v>0.1</v>
      </c>
      <c r="D6">
        <v>0.1</v>
      </c>
      <c r="E6">
        <v>0.1</v>
      </c>
      <c r="F6">
        <v>0.1</v>
      </c>
      <c r="K6" s="5" t="str">
        <f>cost!A2</f>
        <v>minimum number of vehicles required to satisfy the demand</v>
      </c>
      <c r="L6">
        <v>1</v>
      </c>
      <c r="M6" s="9">
        <v>1</v>
      </c>
      <c r="N6">
        <v>1</v>
      </c>
      <c r="O6">
        <v>1</v>
      </c>
      <c r="P6">
        <v>1</v>
      </c>
    </row>
    <row r="7" spans="1:17" ht="34" x14ac:dyDescent="0.2">
      <c r="A7" s="5" t="str">
        <f>company!A3</f>
        <v>initial company adoption fraction</v>
      </c>
      <c r="B7">
        <v>0</v>
      </c>
      <c r="C7" s="9">
        <v>0</v>
      </c>
      <c r="D7">
        <v>0.3</v>
      </c>
      <c r="E7">
        <v>0.3</v>
      </c>
      <c r="F7">
        <v>0.3</v>
      </c>
      <c r="K7" s="5" t="str">
        <f>cost!A3</f>
        <v>minimum km required to satisfy the demand</v>
      </c>
      <c r="L7">
        <v>1</v>
      </c>
      <c r="M7" s="9">
        <v>1</v>
      </c>
      <c r="N7">
        <v>1</v>
      </c>
      <c r="O7">
        <v>1</v>
      </c>
      <c r="P7">
        <v>1</v>
      </c>
    </row>
    <row r="8" spans="1:17" ht="17" x14ac:dyDescent="0.2">
      <c r="A8" s="5" t="str">
        <f>company!A4</f>
        <v>initial push time</v>
      </c>
      <c r="B8">
        <v>0</v>
      </c>
      <c r="C8" s="9">
        <v>0</v>
      </c>
      <c r="D8">
        <v>36</v>
      </c>
      <c r="E8">
        <v>36</v>
      </c>
      <c r="F8">
        <v>36</v>
      </c>
      <c r="K8" s="5" t="str">
        <f>cost!A4</f>
        <v>cost per vehicle</v>
      </c>
      <c r="L8">
        <v>10</v>
      </c>
      <c r="M8" s="9">
        <v>50</v>
      </c>
      <c r="N8">
        <v>50</v>
      </c>
      <c r="O8">
        <v>50</v>
      </c>
      <c r="P8">
        <v>50</v>
      </c>
    </row>
    <row r="9" spans="1:17" ht="34" x14ac:dyDescent="0.2">
      <c r="A9" s="5" t="str">
        <f>company!A5</f>
        <v>average delay time in dropping out</v>
      </c>
      <c r="B9">
        <v>36</v>
      </c>
      <c r="C9" s="9">
        <v>36</v>
      </c>
      <c r="D9">
        <v>36</v>
      </c>
      <c r="E9">
        <v>36</v>
      </c>
      <c r="F9">
        <v>36</v>
      </c>
      <c r="K9" s="5" t="str">
        <f>cost!A5</f>
        <v>cost per km</v>
      </c>
      <c r="L9">
        <v>10</v>
      </c>
      <c r="M9" s="9">
        <v>50</v>
      </c>
      <c r="N9">
        <v>50</v>
      </c>
      <c r="O9">
        <v>50</v>
      </c>
      <c r="P9">
        <v>50</v>
      </c>
    </row>
    <row r="10" spans="1:17" ht="34" x14ac:dyDescent="0.2">
      <c r="K10" s="5" t="str">
        <f>cost!A6</f>
        <v>extra handling cost per box</v>
      </c>
      <c r="L10">
        <v>10</v>
      </c>
      <c r="M10" s="9">
        <v>1</v>
      </c>
      <c r="N10">
        <v>1</v>
      </c>
      <c r="O10">
        <v>1</v>
      </c>
      <c r="P10">
        <v>1</v>
      </c>
    </row>
    <row r="11" spans="1:17" ht="17" x14ac:dyDescent="0.2">
      <c r="K11" s="5" t="str">
        <f>cost!A7</f>
        <v>cost per hour</v>
      </c>
      <c r="L11">
        <v>10</v>
      </c>
      <c r="M11" s="9">
        <v>10</v>
      </c>
      <c r="N11">
        <v>10</v>
      </c>
      <c r="O11">
        <v>10</v>
      </c>
      <c r="P11">
        <v>10</v>
      </c>
    </row>
    <row r="12" spans="1:17" x14ac:dyDescent="0.2">
      <c r="Q12" s="12"/>
    </row>
    <row r="18" spans="1:17" x14ac:dyDescent="0.2">
      <c r="B18" t="s">
        <v>47</v>
      </c>
      <c r="L18" t="s">
        <v>49</v>
      </c>
    </row>
    <row r="19" spans="1:17" x14ac:dyDescent="0.2">
      <c r="B19" s="11">
        <v>0</v>
      </c>
      <c r="C19">
        <v>1</v>
      </c>
      <c r="D19">
        <v>2</v>
      </c>
      <c r="E19">
        <v>3</v>
      </c>
      <c r="F19">
        <v>4</v>
      </c>
      <c r="G19">
        <v>5</v>
      </c>
      <c r="L19" s="11">
        <v>0</v>
      </c>
      <c r="M19">
        <v>1</v>
      </c>
      <c r="N19">
        <v>2</v>
      </c>
      <c r="O19">
        <v>3</v>
      </c>
      <c r="P19">
        <v>4</v>
      </c>
      <c r="Q19">
        <v>5</v>
      </c>
    </row>
    <row r="20" spans="1:17" ht="34" x14ac:dyDescent="0.2">
      <c r="A20" s="5" t="str">
        <f>hubs!A1</f>
        <v>building cost of hubs</v>
      </c>
      <c r="B20">
        <v>100000</v>
      </c>
      <c r="C20" s="9">
        <v>100000</v>
      </c>
      <c r="D20">
        <v>100000</v>
      </c>
      <c r="E20">
        <v>100000</v>
      </c>
      <c r="F20">
        <v>100000</v>
      </c>
      <c r="K20" s="5" t="str">
        <f>goals!A1</f>
        <v>emissions of diesel trucks</v>
      </c>
      <c r="L20">
        <v>100</v>
      </c>
      <c r="M20" s="9">
        <v>100</v>
      </c>
      <c r="N20">
        <v>100</v>
      </c>
      <c r="O20">
        <v>100</v>
      </c>
      <c r="P20">
        <v>100</v>
      </c>
    </row>
    <row r="21" spans="1:17" ht="51" x14ac:dyDescent="0.2">
      <c r="A21" s="5" t="str">
        <f>hubs!A2</f>
        <v>maximum funds per unit of time</v>
      </c>
      <c r="B21">
        <v>10000</v>
      </c>
      <c r="C21" s="9">
        <v>10000</v>
      </c>
      <c r="D21">
        <v>10000</v>
      </c>
      <c r="E21">
        <v>10000</v>
      </c>
      <c r="F21">
        <v>10000</v>
      </c>
      <c r="K21" s="5" t="str">
        <f>goals!A2</f>
        <v>emissions of environmetally friendly vehicle types</v>
      </c>
      <c r="L21">
        <v>1</v>
      </c>
      <c r="M21" s="9">
        <v>1</v>
      </c>
      <c r="N21">
        <v>1</v>
      </c>
      <c r="O21">
        <v>1</v>
      </c>
      <c r="P21">
        <v>1</v>
      </c>
    </row>
    <row r="22" spans="1:17" ht="17" x14ac:dyDescent="0.2">
      <c r="A22" s="5" t="str">
        <f>hubs!A3</f>
        <v>minimum utilization rate</v>
      </c>
      <c r="B22">
        <v>0.9</v>
      </c>
      <c r="C22" s="9">
        <v>0.9</v>
      </c>
      <c r="D22">
        <v>0.9</v>
      </c>
      <c r="E22">
        <v>0.9</v>
      </c>
      <c r="F22">
        <v>0.9</v>
      </c>
      <c r="K22" s="5" t="str">
        <f>goals!A3</f>
        <v>goal of co2 emissions</v>
      </c>
      <c r="L22">
        <v>300000000</v>
      </c>
      <c r="M22" s="9">
        <v>300000000</v>
      </c>
      <c r="N22">
        <v>300000000</v>
      </c>
      <c r="O22">
        <v>300000000</v>
      </c>
      <c r="P22">
        <v>300000000</v>
      </c>
    </row>
    <row r="23" spans="1:17" ht="34" x14ac:dyDescent="0.2">
      <c r="A23" s="5" t="str">
        <f>hubs!A4</f>
        <v>adjustment time for total utilized capacity</v>
      </c>
      <c r="B23">
        <v>24</v>
      </c>
      <c r="C23" s="9">
        <v>24</v>
      </c>
      <c r="D23">
        <v>24</v>
      </c>
      <c r="E23">
        <v>24</v>
      </c>
      <c r="F23">
        <v>24</v>
      </c>
      <c r="K23" s="5" t="str">
        <f>goals!A4</f>
        <v>goal of vehicle km</v>
      </c>
      <c r="L23">
        <f>2*10^13</f>
        <v>20000000000000</v>
      </c>
      <c r="M23" s="9">
        <f>2*10^13</f>
        <v>20000000000000</v>
      </c>
      <c r="N23">
        <f>2*10^13</f>
        <v>20000000000000</v>
      </c>
      <c r="O23">
        <f>2*10^13</f>
        <v>20000000000000</v>
      </c>
      <c r="P23">
        <f>2*10^13</f>
        <v>20000000000000</v>
      </c>
    </row>
    <row r="24" spans="1:17" ht="34" x14ac:dyDescent="0.2">
      <c r="A24" s="5" t="str">
        <f>hubs!A5</f>
        <v>total demand</v>
      </c>
      <c r="B24" s="3">
        <f>'variable assumptions and source'!B8</f>
        <v>3338155.3681021542</v>
      </c>
      <c r="C24" s="10">
        <f>'variable assumptions and source'!B8</f>
        <v>3338155.3681021542</v>
      </c>
      <c r="D24" s="3">
        <f>'variable assumptions and source'!B8</f>
        <v>3338155.3681021542</v>
      </c>
      <c r="E24" s="3">
        <f>'variable assumptions and source'!B8</f>
        <v>3338155.3681021542</v>
      </c>
      <c r="F24" s="3">
        <f>'variable assumptions and source'!B8</f>
        <v>3338155.3681021542</v>
      </c>
      <c r="K24" s="5" t="str">
        <f>goals!A5</f>
        <v>goal of co2 emissions on off</v>
      </c>
      <c r="L24">
        <v>1</v>
      </c>
      <c r="M24" s="9">
        <v>1</v>
      </c>
      <c r="N24">
        <v>1</v>
      </c>
      <c r="O24">
        <v>1</v>
      </c>
      <c r="P24">
        <v>1</v>
      </c>
    </row>
    <row r="25" spans="1:17" ht="34" x14ac:dyDescent="0.2">
      <c r="A25" s="5" t="str">
        <f>hubs!A6</f>
        <v>single hub capacity</v>
      </c>
      <c r="B25">
        <v>300000</v>
      </c>
      <c r="C25" s="9">
        <v>300000</v>
      </c>
      <c r="D25">
        <v>300000</v>
      </c>
      <c r="E25">
        <v>300000</v>
      </c>
      <c r="F25">
        <v>300000</v>
      </c>
      <c r="K25" s="5" t="str">
        <f>goals!A6</f>
        <v>goal of vehicle km on off</v>
      </c>
      <c r="L25">
        <v>1</v>
      </c>
      <c r="M25" s="9">
        <v>1</v>
      </c>
      <c r="N25">
        <v>1</v>
      </c>
      <c r="O25">
        <v>1</v>
      </c>
      <c r="P25">
        <v>1</v>
      </c>
    </row>
    <row r="26" spans="1:17" ht="17" x14ac:dyDescent="0.2">
      <c r="A26" s="5" t="str">
        <f>hubs!A7</f>
        <v>public sector funds on off</v>
      </c>
      <c r="B26">
        <v>1</v>
      </c>
      <c r="C26" s="9">
        <v>1</v>
      </c>
      <c r="D26">
        <v>1</v>
      </c>
      <c r="E26">
        <v>1</v>
      </c>
      <c r="F26">
        <v>1</v>
      </c>
    </row>
    <row r="27" spans="1:17" ht="17" x14ac:dyDescent="0.2">
      <c r="A27" s="5" t="str">
        <f>hubs!A8</f>
        <v>private sector funds on off</v>
      </c>
      <c r="B27">
        <v>0</v>
      </c>
      <c r="C27" s="9">
        <v>0</v>
      </c>
      <c r="D27">
        <v>0</v>
      </c>
      <c r="E27">
        <v>1</v>
      </c>
      <c r="F27">
        <v>1</v>
      </c>
    </row>
    <row r="28" spans="1:17" ht="34" x14ac:dyDescent="0.2">
      <c r="A28" s="5" t="str">
        <f>hubs!A9</f>
        <v>percentage of profit for hubs funds</v>
      </c>
      <c r="B28">
        <v>0</v>
      </c>
      <c r="C28" s="9">
        <v>0</v>
      </c>
      <c r="D28">
        <v>0</v>
      </c>
      <c r="E28">
        <v>0.5</v>
      </c>
      <c r="F28">
        <v>0.5</v>
      </c>
    </row>
    <row r="29" spans="1:17" ht="34" x14ac:dyDescent="0.2">
      <c r="A29" s="5" t="str">
        <f>hubs!A10</f>
        <v>adjustment time for adding hubs</v>
      </c>
      <c r="B29">
        <v>24</v>
      </c>
      <c r="C29" s="9">
        <v>24</v>
      </c>
      <c r="D29">
        <v>24</v>
      </c>
      <c r="E29">
        <v>24</v>
      </c>
      <c r="F29">
        <v>24</v>
      </c>
    </row>
    <row r="30" spans="1:17" ht="17" x14ac:dyDescent="0.2">
      <c r="A30" s="5" t="str">
        <f>hubs!A11</f>
        <v>time step of scrapping</v>
      </c>
      <c r="B30">
        <v>0</v>
      </c>
      <c r="C30" s="9">
        <v>0</v>
      </c>
      <c r="D30">
        <v>0</v>
      </c>
      <c r="E30">
        <v>0</v>
      </c>
      <c r="F30">
        <v>0</v>
      </c>
    </row>
    <row r="31" spans="1:17" ht="17" x14ac:dyDescent="0.2">
      <c r="A31" s="5" t="str">
        <f>hubs!A12</f>
        <v>number of hubs scrapped</v>
      </c>
      <c r="B31">
        <v>0</v>
      </c>
      <c r="C31" s="9">
        <v>0</v>
      </c>
      <c r="D31">
        <v>0</v>
      </c>
      <c r="E31">
        <v>0</v>
      </c>
      <c r="F31">
        <v>0</v>
      </c>
    </row>
    <row r="33" spans="1:6" x14ac:dyDescent="0.2">
      <c r="B33" t="s">
        <v>70</v>
      </c>
    </row>
    <row r="34" spans="1:6" x14ac:dyDescent="0.2">
      <c r="B34">
        <v>0</v>
      </c>
      <c r="C34">
        <v>1</v>
      </c>
      <c r="D34">
        <v>2</v>
      </c>
      <c r="E34">
        <v>3</v>
      </c>
      <c r="F34">
        <v>4</v>
      </c>
    </row>
    <row r="35" spans="1:6" ht="17" x14ac:dyDescent="0.2">
      <c r="A35" s="5" t="str">
        <f>efficiencies!A1</f>
        <v>initial routing efficiency</v>
      </c>
      <c r="B35">
        <v>0.7</v>
      </c>
      <c r="C35" s="9">
        <v>0.7</v>
      </c>
      <c r="D35">
        <v>0.7</v>
      </c>
      <c r="E35">
        <v>0.7</v>
      </c>
      <c r="F35">
        <v>0.7</v>
      </c>
    </row>
    <row r="36" spans="1:6" ht="17" x14ac:dyDescent="0.2">
      <c r="A36" s="5" t="str">
        <f>efficiencies!A2</f>
        <v>maximum routing efficiency</v>
      </c>
      <c r="B36">
        <v>0.9</v>
      </c>
      <c r="C36" s="9">
        <v>0.9</v>
      </c>
      <c r="D36">
        <v>0.9</v>
      </c>
      <c r="E36">
        <v>0.9</v>
      </c>
      <c r="F36">
        <v>0.95</v>
      </c>
    </row>
    <row r="37" spans="1:6" ht="17" x14ac:dyDescent="0.2">
      <c r="A37" s="5" t="str">
        <f>efficiencies!A3</f>
        <v>initial fill rate</v>
      </c>
      <c r="B37">
        <v>0.6</v>
      </c>
      <c r="C37" s="9">
        <v>0.6</v>
      </c>
      <c r="D37">
        <v>0.6</v>
      </c>
      <c r="E37">
        <v>0.6</v>
      </c>
      <c r="F37">
        <v>0.6</v>
      </c>
    </row>
    <row r="38" spans="1:6" ht="17" x14ac:dyDescent="0.2">
      <c r="A38" s="5" t="str">
        <f>efficiencies!A4</f>
        <v>maximum fill rate</v>
      </c>
      <c r="B38">
        <v>0.8</v>
      </c>
      <c r="C38" s="9">
        <v>0.8</v>
      </c>
      <c r="D38">
        <v>0.8</v>
      </c>
      <c r="E38">
        <v>0.8</v>
      </c>
      <c r="F38">
        <v>0.9</v>
      </c>
    </row>
    <row r="39" spans="1:6" ht="17" x14ac:dyDescent="0.2">
      <c r="A39" s="5" t="str">
        <f>efficiencies!A5</f>
        <v>minimum delivery time</v>
      </c>
      <c r="B39">
        <v>3</v>
      </c>
      <c r="C39" s="9">
        <v>3</v>
      </c>
      <c r="D39">
        <v>3</v>
      </c>
      <c r="E39">
        <v>3</v>
      </c>
      <c r="F39">
        <v>3</v>
      </c>
    </row>
    <row r="40" spans="1:6" ht="17" x14ac:dyDescent="0.2">
      <c r="A40" s="5" t="str">
        <f>efficiencies!A6</f>
        <v>initial delivery time</v>
      </c>
      <c r="B40">
        <v>5</v>
      </c>
      <c r="C40" s="9">
        <v>5</v>
      </c>
      <c r="D40">
        <v>5</v>
      </c>
      <c r="E40">
        <v>5</v>
      </c>
      <c r="F40">
        <v>5</v>
      </c>
    </row>
    <row r="41" spans="1:6" ht="51" x14ac:dyDescent="0.2">
      <c r="A41" s="5" t="str">
        <f>efficiencies!A7</f>
        <v>multiplier for effect of using hub capacity on increase in routing efficiency</v>
      </c>
      <c r="B41">
        <v>5</v>
      </c>
      <c r="C41" s="9">
        <v>5</v>
      </c>
      <c r="D41">
        <v>5</v>
      </c>
      <c r="E41">
        <v>5</v>
      </c>
      <c r="F41">
        <v>5</v>
      </c>
    </row>
    <row r="42" spans="1:6" ht="51" x14ac:dyDescent="0.2">
      <c r="A42" s="5" t="str">
        <f>efficiencies!A8</f>
        <v>multiplier for effect of using hub capacity on increase in fill rate</v>
      </c>
      <c r="B42">
        <v>5</v>
      </c>
      <c r="C42" s="9">
        <v>5</v>
      </c>
      <c r="D42">
        <v>5</v>
      </c>
      <c r="E42">
        <v>5</v>
      </c>
      <c r="F42">
        <v>5</v>
      </c>
    </row>
    <row r="43" spans="1:6" ht="51" x14ac:dyDescent="0.2">
      <c r="A43" s="5" t="str">
        <f>efficiencies!A9</f>
        <v>multiplier for effect of using hub capacity on decrease in delivery time</v>
      </c>
      <c r="B43">
        <v>5</v>
      </c>
      <c r="C43" s="9">
        <v>5</v>
      </c>
      <c r="D43">
        <v>5</v>
      </c>
      <c r="E43">
        <v>5</v>
      </c>
      <c r="F43">
        <v>5</v>
      </c>
    </row>
  </sheetData>
  <mergeCells count="1">
    <mergeCell ref="B1:D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enario">
                <anchor moveWithCells="1" sizeWithCells="1">
                  <from>
                    <xdr:col>6</xdr:col>
                    <xdr:colOff>635000</xdr:colOff>
                    <xdr:row>0</xdr:row>
                    <xdr:rowOff>50800</xdr:rowOff>
                  </from>
                  <to>
                    <xdr:col>9</xdr:col>
                    <xdr:colOff>177800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variable assumptions and source</vt:lpstr>
      <vt:lpstr>company</vt:lpstr>
      <vt:lpstr>hubs</vt:lpstr>
      <vt:lpstr>cost</vt:lpstr>
      <vt:lpstr>efficiencies</vt:lpstr>
      <vt:lpstr>goals</vt:lpstr>
      <vt:lpstr>scenarios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Claudia Andruetto</cp:lastModifiedBy>
  <dcterms:created xsi:type="dcterms:W3CDTF">2021-09-06T07:30:21Z</dcterms:created>
  <dcterms:modified xsi:type="dcterms:W3CDTF">2022-12-07T09:20:47Z</dcterms:modified>
</cp:coreProperties>
</file>