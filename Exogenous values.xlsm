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xr:revisionPtr revIDLastSave="0" documentId="13_ncr:1_{56B84CF4-38D7-4FCB-A5A8-205475E7FCC8}" xr6:coauthVersionLast="47" xr6:coauthVersionMax="47" xr10:uidLastSave="{00000000-0000-0000-0000-000000000000}"/>
  <bookViews>
    <workbookView xWindow="22932" yWindow="6576" windowWidth="23256" windowHeight="12576" activeTab="6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0" i="7" l="1"/>
  <c r="A31" i="7"/>
  <c r="A41" i="7"/>
  <c r="A42" i="7"/>
  <c r="A43" i="7"/>
  <c r="A29" i="7"/>
  <c r="K11" i="7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<sst xmlns="http://schemas.openxmlformats.org/spreadsheetml/2006/main" count="107" uniqueCount="85">
  <si>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</si>
  <si>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</si>
  <si>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</si>
  <si>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</si>
  <si>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</si>
  <si>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</si>
  <si>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</si>
  <si>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</si>
  <si>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</si>
  <si>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</si>
  <si>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</si>
  <si>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</si>
  <si>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</si>
  <si>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</si>
  <si>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</si>
  <si>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</si>
  <si>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</si>
  <si>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</si>
  <si>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</si>
  <si>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</si>
  <si>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</si>
  <si>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</si>
  <si>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</si>
  <si>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</si>
  <si>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</si>
  <si>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</si>
  <si>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</si>
  <si>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</si>
  <si>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</si>
  <si>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</si>
  <si>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</si>
  <si>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</si>
  <si>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</si>
  <si>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</si>
  <si>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</si>
  <si>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</si>
  <si>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</si>
  <si>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</si>
  <si>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</si>
  <si>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</si>
  <si>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</si>
  <si>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</si>
  <si>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</si>
  <si>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</si>
  <si>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</si>
  <si>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</si>
  <si>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</si>
  <si>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</si>
  <si>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</si>
  <si>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</si>
  <si>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</si>
  <si>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</si>
  <si>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</si>
  <si>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</si>
  <si>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</si>
  <si>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</si>
  <si>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</si>
  <si>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</si>
  <si>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</si>
  <si>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</si>
  <si>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</si>
  <si>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</si>
  <si>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</si>
  <si>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</si>
  <si>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</si>
  <si>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</si>
  <si>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</si>
  <si>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</si>
  <si>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</si>
  <si>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</si>
  <si>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</si>
  <si>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</si>
  <si>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</si>
  <si>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</si>
  <si>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</si>
  <si>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</si>
  <si>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</si>
  <si>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</si>
  <si>
    <t>adjustment time for adding hubs</t>
  </si>
  <si>
    <t>multiplier for effect of using hub capacity on increase in routing efficiency</t>
  </si>
  <si>
    <t>multiplier for effect of using hub capacity on increase in fill rate</t>
  </si>
  <si>
    <t>multiplier for effect of using hub capacity on decrease in delivery time</t>
  </si>
  <si>
    <t>time step of scrapping</t>
  </si>
  <si>
    <t>number of hubs scrapped</t>
  </si>
  <si>
    <t>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</si>
</sst>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  <xf numFmtId="0" fontId="2" fillId="0" borderId="0" xfId="0" applyFont="1" applyAlignment="1">
      <alignment wrapText="1"/>
    </xf>
    <xf numFmtId="0" fontId="3" fillId="3" borderId="0" xfId="0" applyFont="1" applyFill="1"/>
    <xf numFmtId="0" fontId="0" fillId="4" borderId="0" xfId="0" applyFill="1"/>
    <xf numFmtId="11" fontId="0" fillId="4" borderId="0" xfId="0" applyNumberFormat="1" applyFill="1"/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quotePrefix="1" applyFill="1"/>
    <xf numFmtId="0" fontId="5" fillId="0" borderId="0" xfId="0" applyFont="1" applyFill="1"/>
    <xf numFmtId="11" fontId="0" fillId="0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defaultColWidth="8.875"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6" t="s">
        <v>26</v>
      </c>
      <c r="B1" s="16"/>
      <c r="C1" s="16"/>
    </row>
    <row r="2" spans="1:4" x14ac:dyDescent="0.25">
      <c r="A2" s="5" t="s">
        <v>27</v>
      </c>
      <c r="B2" s="1">
        <v>10173195</v>
      </c>
      <c r="C2" t="s">
        <v>30</v>
      </c>
    </row>
    <row r="3" spans="1:4" x14ac:dyDescent="0.25">
      <c r="A3" s="5" t="s">
        <v>28</v>
      </c>
      <c r="B3" s="1">
        <v>1656571</v>
      </c>
      <c r="C3" t="s">
        <v>29</v>
      </c>
    </row>
    <row r="4" spans="1:4" ht="31.5" x14ac:dyDescent="0.25">
      <c r="A4" s="5" t="s">
        <v>31</v>
      </c>
      <c r="B4">
        <f>B3/B2</f>
        <v>0.16283684722449535</v>
      </c>
    </row>
    <row r="5" spans="1:4" x14ac:dyDescent="0.25">
      <c r="A5" s="5" t="s">
        <v>35</v>
      </c>
      <c r="B5" s="3">
        <f>1.8055*10^9</f>
        <v>1805500000</v>
      </c>
      <c r="C5" t="s">
        <v>32</v>
      </c>
    </row>
    <row r="6" spans="1:4" x14ac:dyDescent="0.25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5" x14ac:dyDescent="0.25">
      <c r="A7" s="5" t="s">
        <v>36</v>
      </c>
      <c r="B7" s="3">
        <f>B6*B4</f>
        <v>40057864.417225853</v>
      </c>
    </row>
    <row r="8" spans="1:4" ht="31.5" x14ac:dyDescent="0.25">
      <c r="A8" s="5" t="s">
        <v>37</v>
      </c>
      <c r="B8" s="4">
        <f>B7/12</f>
        <v>3338155.3681021542</v>
      </c>
    </row>
    <row r="12" spans="1:4" x14ac:dyDescent="0.25">
      <c r="A12" s="16" t="s">
        <v>38</v>
      </c>
      <c r="B12" s="16"/>
      <c r="C12" s="16"/>
    </row>
    <row r="13" spans="1:4" ht="31.5" x14ac:dyDescent="0.25">
      <c r="A13" s="5" t="s">
        <v>39</v>
      </c>
      <c r="B13" s="6">
        <v>1503.7</v>
      </c>
      <c r="C13" s="7" t="s">
        <v>40</v>
      </c>
      <c r="D13" t="s">
        <v>44</v>
      </c>
    </row>
    <row r="14" spans="1:4" x14ac:dyDescent="0.25">
      <c r="A14" t="s">
        <v>41</v>
      </c>
      <c r="B14">
        <f>B13*B4</f>
        <v>244.85776717147365</v>
      </c>
      <c r="C14" s="7" t="s">
        <v>40</v>
      </c>
    </row>
    <row r="15" spans="1:4" x14ac:dyDescent="0.25">
      <c r="A15" t="s">
        <v>42</v>
      </c>
      <c r="B15" s="3">
        <f>B14/B8</f>
        <v>7.3351219512195133E-5</v>
      </c>
      <c r="C15" s="7" t="s">
        <v>40</v>
      </c>
    </row>
    <row r="16" spans="1:4" x14ac:dyDescent="0.25">
      <c r="A16" t="s">
        <v>42</v>
      </c>
      <c r="B16" s="2">
        <f>B15*10^6</f>
        <v>73.351219512195129</v>
      </c>
      <c r="C16" s="7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defaultColWidth="11" defaultRowHeight="15.75" x14ac:dyDescent="0.25"/>
  <cols>
    <col min="1" max="1" width="29.625" bestFit="1" customWidth="1"/>
    <col min="2" max="2" width="12.125" bestFit="1" customWidth="1"/>
  </cols>
  <sheetData>
    <row r="1" spans="1:3" x14ac:dyDescent="0.25">
      <c r="A1" t="s">
        <v>0</v>
      </c>
      <c r="B1">
        <v>50</v>
      </c>
      <c r="C1" t="s">
        <v>18</v>
      </c>
    </row>
    <row r="2" spans="1:3" x14ac:dyDescent="0.25">
      <c r="A2" t="s">
        <v>1</v>
      </c>
      <c r="B2">
        <v>0.1</v>
      </c>
      <c r="C2" t="s">
        <v>19</v>
      </c>
    </row>
    <row r="3" spans="1:3" x14ac:dyDescent="0.25">
      <c r="A3" t="s">
        <v>12</v>
      </c>
      <c r="B3">
        <v>0</v>
      </c>
      <c r="C3" t="s">
        <v>19</v>
      </c>
    </row>
    <row r="4" spans="1:3" x14ac:dyDescent="0.25">
      <c r="A4" t="s">
        <v>11</v>
      </c>
      <c r="B4">
        <v>0</v>
      </c>
      <c r="C4" t="s">
        <v>20</v>
      </c>
    </row>
    <row r="5" spans="1:3" x14ac:dyDescent="0.25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"/>
  <sheetViews>
    <sheetView workbookViewId="0">
      <selection activeCell="A13" sqref="A13"/>
    </sheetView>
  </sheetViews>
  <sheetFormatPr defaultColWidth="11" defaultRowHeight="15.75" x14ac:dyDescent="0.25"/>
  <cols>
    <col min="1" max="1" width="36.62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21</v>
      </c>
    </row>
    <row r="2" spans="1:3" x14ac:dyDescent="0.25">
      <c r="A2" t="s">
        <v>3</v>
      </c>
      <c r="B2">
        <v>10000</v>
      </c>
      <c r="C2" t="s">
        <v>22</v>
      </c>
    </row>
    <row r="3" spans="1:3" x14ac:dyDescent="0.25">
      <c r="A3" t="s">
        <v>17</v>
      </c>
      <c r="B3">
        <v>0.9</v>
      </c>
      <c r="C3" t="s">
        <v>8</v>
      </c>
    </row>
    <row r="4" spans="1:3" x14ac:dyDescent="0.25">
      <c r="A4" t="s">
        <v>23</v>
      </c>
      <c r="B4">
        <v>24</v>
      </c>
      <c r="C4" t="s">
        <v>24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50</v>
      </c>
      <c r="B7">
        <v>1</v>
      </c>
      <c r="C7" t="s">
        <v>8</v>
      </c>
    </row>
    <row r="8" spans="1:3" x14ac:dyDescent="0.25">
      <c r="A8" t="s">
        <v>51</v>
      </c>
      <c r="B8">
        <v>0</v>
      </c>
      <c r="C8" t="s">
        <v>8</v>
      </c>
    </row>
    <row r="9" spans="1:3" x14ac:dyDescent="0.25">
      <c r="A9" t="s">
        <v>52</v>
      </c>
      <c r="B9">
        <v>0</v>
      </c>
      <c r="C9" t="s">
        <v>8</v>
      </c>
    </row>
    <row r="10" spans="1:3" x14ac:dyDescent="0.25">
      <c r="A10" t="s">
        <v>78</v>
      </c>
      <c r="B10">
        <v>24</v>
      </c>
      <c r="C10" t="s">
        <v>24</v>
      </c>
    </row>
    <row r="11" spans="1:3" x14ac:dyDescent="0.25">
      <c r="A11" t="s">
        <v>82</v>
      </c>
      <c r="B11">
        <v>0</v>
      </c>
      <c r="C11" t="s">
        <v>24</v>
      </c>
    </row>
    <row r="12" spans="1:3" x14ac:dyDescent="0.25">
      <c r="A12" t="s">
        <v>83</v>
      </c>
      <c r="B12">
        <v>0</v>
      </c>
      <c r="C12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defaultColWidth="8.875" defaultRowHeight="15.75" x14ac:dyDescent="0.25"/>
  <cols>
    <col min="1" max="1" width="47.875" bestFit="1" customWidth="1"/>
  </cols>
  <sheetData>
    <row r="1" spans="1:3" x14ac:dyDescent="0.25">
      <c r="A1" t="s">
        <v>9</v>
      </c>
      <c r="B1">
        <v>100</v>
      </c>
      <c r="C1" t="s">
        <v>10</v>
      </c>
    </row>
    <row r="2" spans="1:3" x14ac:dyDescent="0.25">
      <c r="A2" t="s">
        <v>65</v>
      </c>
      <c r="B2">
        <v>1</v>
      </c>
      <c r="C2" t="s">
        <v>53</v>
      </c>
    </row>
    <row r="3" spans="1:3" x14ac:dyDescent="0.25">
      <c r="A3" t="s">
        <v>66</v>
      </c>
      <c r="B3">
        <v>1</v>
      </c>
      <c r="C3" t="s">
        <v>54</v>
      </c>
    </row>
    <row r="4" spans="1:3" x14ac:dyDescent="0.25">
      <c r="A4" t="s">
        <v>55</v>
      </c>
      <c r="B4">
        <v>50</v>
      </c>
      <c r="C4" t="s">
        <v>57</v>
      </c>
    </row>
    <row r="5" spans="1:3" x14ac:dyDescent="0.25">
      <c r="A5" t="s">
        <v>56</v>
      </c>
      <c r="B5">
        <v>50</v>
      </c>
      <c r="C5" t="s">
        <v>58</v>
      </c>
    </row>
    <row r="6" spans="1:3" x14ac:dyDescent="0.25">
      <c r="A6" t="s">
        <v>71</v>
      </c>
      <c r="B6">
        <v>1</v>
      </c>
      <c r="C6" t="s">
        <v>72</v>
      </c>
    </row>
    <row r="7" spans="1:3" x14ac:dyDescent="0.25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9"/>
  <sheetViews>
    <sheetView workbookViewId="0">
      <selection activeCell="A7" sqref="A7"/>
    </sheetView>
  </sheetViews>
  <sheetFormatPr defaultColWidth="8.875" defaultRowHeight="15.75" x14ac:dyDescent="0.25"/>
  <cols>
    <col min="1" max="1" width="63.875" bestFit="1" customWidth="1"/>
  </cols>
  <sheetData>
    <row r="1" spans="1:3" x14ac:dyDescent="0.25">
      <c r="A1" t="s">
        <v>59</v>
      </c>
      <c r="B1">
        <v>0.7</v>
      </c>
      <c r="C1" t="s">
        <v>8</v>
      </c>
    </row>
    <row r="2" spans="1:3" x14ac:dyDescent="0.25">
      <c r="A2" t="s">
        <v>60</v>
      </c>
      <c r="B2">
        <v>0.9</v>
      </c>
      <c r="C2" t="s">
        <v>8</v>
      </c>
    </row>
    <row r="3" spans="1:3" x14ac:dyDescent="0.25">
      <c r="A3" t="s">
        <v>61</v>
      </c>
      <c r="B3">
        <v>0.6</v>
      </c>
      <c r="C3" t="s">
        <v>8</v>
      </c>
    </row>
    <row r="4" spans="1:3" x14ac:dyDescent="0.25">
      <c r="A4" t="s">
        <v>62</v>
      </c>
      <c r="B4">
        <v>0.8</v>
      </c>
      <c r="C4" t="s">
        <v>8</v>
      </c>
    </row>
    <row r="5" spans="1:3" x14ac:dyDescent="0.25">
      <c r="A5" t="s">
        <v>73</v>
      </c>
      <c r="B5">
        <v>3</v>
      </c>
      <c r="C5" t="s">
        <v>75</v>
      </c>
    </row>
    <row r="6" spans="1:3" x14ac:dyDescent="0.25">
      <c r="A6" t="s">
        <v>74</v>
      </c>
      <c r="B6">
        <v>5</v>
      </c>
      <c r="C6" t="s">
        <v>75</v>
      </c>
    </row>
    <row r="7" spans="1:3" x14ac:dyDescent="0.25">
      <c r="A7" t="s">
        <v>79</v>
      </c>
      <c r="B7">
        <v>5</v>
      </c>
      <c r="C7" t="s">
        <v>8</v>
      </c>
    </row>
    <row r="8" spans="1:3" x14ac:dyDescent="0.25">
      <c r="A8" t="s">
        <v>80</v>
      </c>
      <c r="B8">
        <v>5</v>
      </c>
      <c r="C8" t="s">
        <v>8</v>
      </c>
    </row>
    <row r="9" spans="1:3" x14ac:dyDescent="0.25">
      <c r="A9" t="s">
        <v>81</v>
      </c>
      <c r="B9">
        <v>5</v>
      </c>
      <c r="C9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defaultColWidth="8.875"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>
        <v>100</v>
      </c>
      <c r="C1" t="s">
        <v>67</v>
      </c>
    </row>
    <row r="2" spans="1:3" x14ac:dyDescent="0.25">
      <c r="A2" t="s">
        <v>14</v>
      </c>
      <c r="B2">
        <v>1</v>
      </c>
      <c r="C2" t="s">
        <v>67</v>
      </c>
    </row>
    <row r="3" spans="1:3" x14ac:dyDescent="0.25">
      <c r="A3" t="s">
        <v>15</v>
      </c>
      <c r="B3">
        <v>300000000</v>
      </c>
      <c r="C3" t="s">
        <v>16</v>
      </c>
    </row>
    <row r="4" spans="1:3" x14ac:dyDescent="0.25">
      <c r="A4" t="s">
        <v>63</v>
      </c>
      <c r="B4">
        <v>20000000000000</v>
      </c>
      <c r="C4" t="s">
        <v>64</v>
      </c>
    </row>
    <row r="5" spans="1:3" x14ac:dyDescent="0.25">
      <c r="A5" t="s">
        <v>68</v>
      </c>
      <c r="B5">
        <v>1</v>
      </c>
      <c r="C5" t="s">
        <v>8</v>
      </c>
    </row>
    <row r="6" spans="1:3" x14ac:dyDescent="0.25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43"/>
  <sheetViews>
    <sheetView tabSelected="1" zoomScale="80" zoomScaleNormal="80" workbookViewId="0">
      <selection activeCell="A44" sqref="A44"/>
    </sheetView>
  </sheetViews>
  <sheetFormatPr defaultColWidth="8.875" defaultRowHeight="15.75" x14ac:dyDescent="0.25"/>
  <cols>
    <col min="1" max="1" width="26.125" style="5" customWidth="1"/>
    <col min="11" max="11" width="20.375" style="5" customWidth="1"/>
  </cols>
  <sheetData>
    <row r="1" spans="1:23" x14ac:dyDescent="0.25">
      <c r="B1" s="17" t="s">
        <v>45</v>
      </c>
      <c r="C1" s="17"/>
      <c r="D1" s="17"/>
      <c r="E1" s="8">
        <v>1</v>
      </c>
    </row>
    <row r="3" spans="1:23" x14ac:dyDescent="0.25">
      <c r="A3" s="11"/>
      <c r="B3" s="12" t="s">
        <v>46</v>
      </c>
      <c r="C3" s="12"/>
      <c r="D3" s="12"/>
      <c r="E3" s="12"/>
      <c r="F3" s="12"/>
      <c r="G3" s="12"/>
      <c r="H3" s="12"/>
      <c r="I3" s="12"/>
      <c r="J3" s="12"/>
      <c r="K3" s="11"/>
      <c r="L3" s="12" t="s">
        <v>48</v>
      </c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</row>
    <row r="4" spans="1:23" x14ac:dyDescent="0.25">
      <c r="A4" s="11"/>
      <c r="B4" s="13">
        <v>0</v>
      </c>
      <c r="C4" s="12">
        <v>1</v>
      </c>
      <c r="D4" s="12">
        <v>2</v>
      </c>
      <c r="E4" s="12">
        <v>3</v>
      </c>
      <c r="F4" s="12">
        <v>4</v>
      </c>
      <c r="G4" s="12">
        <v>5</v>
      </c>
      <c r="H4" s="12"/>
      <c r="I4" s="12"/>
      <c r="J4" s="12"/>
      <c r="K4" s="11"/>
      <c r="L4" s="13">
        <v>0</v>
      </c>
      <c r="M4" s="12">
        <v>1</v>
      </c>
      <c r="N4" s="12">
        <v>2</v>
      </c>
      <c r="O4" s="12">
        <v>3</v>
      </c>
      <c r="P4" s="12">
        <v>4</v>
      </c>
      <c r="Q4" s="12">
        <v>5</v>
      </c>
      <c r="R4" s="12"/>
      <c r="S4" s="12"/>
      <c r="T4" s="12"/>
      <c r="U4" s="12"/>
      <c r="V4" s="12"/>
      <c r="W4" s="12"/>
    </row>
    <row r="5" spans="1:23" ht="31.5" x14ac:dyDescent="0.25">
      <c r="A5" s="11" t="str">
        <f>company!A1</f>
        <v>total number of companies</v>
      </c>
      <c r="B5" s="12">
        <v>50</v>
      </c>
      <c r="C5" s="9">
        <v>50</v>
      </c>
      <c r="D5" s="12">
        <v>50</v>
      </c>
      <c r="E5" s="12">
        <v>50</v>
      </c>
      <c r="F5" s="12">
        <v>50</v>
      </c>
      <c r="G5" s="12"/>
      <c r="H5" s="12"/>
      <c r="I5" s="12"/>
      <c r="J5" s="12"/>
      <c r="K5" s="11" t="str">
        <f>cost!A1</f>
        <v>total operation cost of one hub</v>
      </c>
      <c r="L5" s="12">
        <v>100</v>
      </c>
      <c r="M5" s="9">
        <v>100</v>
      </c>
      <c r="N5" s="12">
        <v>100</v>
      </c>
      <c r="O5" s="12">
        <v>100</v>
      </c>
      <c r="P5" s="12">
        <v>100</v>
      </c>
      <c r="Q5" s="12"/>
      <c r="R5" s="12"/>
      <c r="S5" s="12"/>
      <c r="T5" s="12"/>
      <c r="U5" s="12"/>
      <c r="V5" s="12"/>
      <c r="W5" s="12"/>
    </row>
    <row r="6" spans="1:23" ht="47.25" x14ac:dyDescent="0.25">
      <c r="A6" s="11" t="str">
        <f>company!A2</f>
        <v>company contact rate</v>
      </c>
      <c r="B6" s="12">
        <v>0.1</v>
      </c>
      <c r="C6" s="9">
        <v>0.1</v>
      </c>
      <c r="D6" s="12">
        <v>0.1</v>
      </c>
      <c r="E6" s="12">
        <v>0.1</v>
      </c>
      <c r="F6" s="12">
        <v>0.1</v>
      </c>
      <c r="G6" s="12"/>
      <c r="H6" s="12"/>
      <c r="I6" s="12"/>
      <c r="J6" s="12"/>
      <c r="K6" s="11" t="str">
        <f>cost!A2</f>
        <v>minimum number of vehicles required to satisfy the demand</v>
      </c>
      <c r="L6" s="12">
        <v>1</v>
      </c>
      <c r="M6" s="9">
        <v>1</v>
      </c>
      <c r="N6" s="12">
        <v>1</v>
      </c>
      <c r="O6" s="12">
        <v>1</v>
      </c>
      <c r="P6" s="12">
        <v>1</v>
      </c>
      <c r="Q6" s="12"/>
      <c r="R6" s="12"/>
      <c r="S6" s="12"/>
      <c r="T6" s="12"/>
      <c r="U6" s="12"/>
      <c r="V6" s="12"/>
      <c r="W6" s="12"/>
    </row>
    <row r="7" spans="1:23" ht="31.5" x14ac:dyDescent="0.25">
      <c r="A7" s="11" t="str">
        <f>company!A3</f>
        <v>initial company adoption fraction</v>
      </c>
      <c r="B7" s="12">
        <v>0</v>
      </c>
      <c r="C7" s="9">
        <v>0</v>
      </c>
      <c r="D7" s="12">
        <v>0.3</v>
      </c>
      <c r="E7" s="12">
        <v>0.3</v>
      </c>
      <c r="F7" s="12">
        <v>0.3</v>
      </c>
      <c r="G7" s="12"/>
      <c r="H7" s="12"/>
      <c r="I7" s="12"/>
      <c r="J7" s="12"/>
      <c r="K7" s="11" t="str">
        <f>cost!A3</f>
        <v>minimum km required to satisfy the demand</v>
      </c>
      <c r="L7" s="12">
        <v>1</v>
      </c>
      <c r="M7" s="9">
        <v>1</v>
      </c>
      <c r="N7" s="12">
        <v>1</v>
      </c>
      <c r="O7" s="12">
        <v>1</v>
      </c>
      <c r="P7" s="12">
        <v>1</v>
      </c>
      <c r="Q7" s="12"/>
      <c r="R7" s="12"/>
      <c r="S7" s="12"/>
      <c r="T7" s="12"/>
      <c r="U7" s="12"/>
      <c r="V7" s="12"/>
      <c r="W7" s="12"/>
    </row>
    <row r="8" spans="1:23" x14ac:dyDescent="0.25">
      <c r="A8" s="11" t="str">
        <f>company!A4</f>
        <v>initial push time</v>
      </c>
      <c r="B8" s="12">
        <v>0</v>
      </c>
      <c r="C8" s="9">
        <v>0</v>
      </c>
      <c r="D8" s="12">
        <v>36</v>
      </c>
      <c r="E8" s="12">
        <v>36</v>
      </c>
      <c r="F8" s="12">
        <v>36</v>
      </c>
      <c r="G8" s="12"/>
      <c r="H8" s="12"/>
      <c r="I8" s="12"/>
      <c r="J8" s="12"/>
      <c r="K8" s="11" t="str">
        <f>cost!A4</f>
        <v>cost per vehicle</v>
      </c>
      <c r="L8" s="12">
        <v>10</v>
      </c>
      <c r="M8" s="9">
        <v>50</v>
      </c>
      <c r="N8" s="12">
        <v>50</v>
      </c>
      <c r="O8" s="12">
        <v>50</v>
      </c>
      <c r="P8" s="12">
        <v>50</v>
      </c>
      <c r="Q8" s="12"/>
      <c r="R8" s="12"/>
      <c r="S8" s="12"/>
      <c r="T8" s="12"/>
      <c r="U8" s="12"/>
      <c r="V8" s="12"/>
      <c r="W8" s="12"/>
    </row>
    <row r="9" spans="1:23" ht="31.5" x14ac:dyDescent="0.25">
      <c r="A9" s="11" t="str">
        <f>company!A5</f>
        <v>average delay time in dropping out</v>
      </c>
      <c r="B9" s="12">
        <v>36</v>
      </c>
      <c r="C9" s="9">
        <v>36</v>
      </c>
      <c r="D9" s="12">
        <v>36</v>
      </c>
      <c r="E9" s="12">
        <v>36</v>
      </c>
      <c r="F9" s="12">
        <v>36</v>
      </c>
      <c r="G9" s="12"/>
      <c r="H9" s="12"/>
      <c r="I9" s="12"/>
      <c r="J9" s="12"/>
      <c r="K9" s="11" t="str">
        <f>cost!A5</f>
        <v>cost per km</v>
      </c>
      <c r="L9" s="12">
        <v>10</v>
      </c>
      <c r="M9" s="9">
        <v>50</v>
      </c>
      <c r="N9" s="12">
        <v>50</v>
      </c>
      <c r="O9" s="12">
        <v>50</v>
      </c>
      <c r="P9" s="12">
        <v>50</v>
      </c>
      <c r="Q9" s="12"/>
      <c r="R9" s="12"/>
      <c r="S9" s="12"/>
      <c r="T9" s="12"/>
      <c r="U9" s="12"/>
      <c r="V9" s="12"/>
      <c r="W9" s="12"/>
    </row>
    <row r="10" spans="1:23" ht="31.5" x14ac:dyDescent="0.2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1" t="str">
        <f>cost!A6</f>
        <v>extra handling cost per box</v>
      </c>
      <c r="L10" s="12">
        <v>10</v>
      </c>
      <c r="M10" s="9">
        <v>1</v>
      </c>
      <c r="N10" s="12">
        <v>1</v>
      </c>
      <c r="O10" s="12">
        <v>1</v>
      </c>
      <c r="P10" s="12">
        <v>1</v>
      </c>
      <c r="Q10" s="12"/>
      <c r="R10" s="12"/>
      <c r="S10" s="12"/>
      <c r="T10" s="12"/>
      <c r="U10" s="12"/>
      <c r="V10" s="12"/>
      <c r="W10" s="12"/>
    </row>
    <row r="11" spans="1:23" x14ac:dyDescent="0.2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1" t="str">
        <f>cost!A7</f>
        <v>cost per hour</v>
      </c>
      <c r="L11" s="12">
        <v>10</v>
      </c>
      <c r="M11" s="9">
        <v>10</v>
      </c>
      <c r="N11" s="12">
        <v>10</v>
      </c>
      <c r="O11" s="12">
        <v>10</v>
      </c>
      <c r="P11" s="12">
        <v>10</v>
      </c>
      <c r="Q11" s="12"/>
      <c r="R11" s="12"/>
      <c r="S11" s="12"/>
      <c r="T11" s="12"/>
      <c r="U11" s="12"/>
      <c r="V11" s="12"/>
      <c r="W11" s="12"/>
    </row>
    <row r="12" spans="1:23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1"/>
      <c r="L12" s="12"/>
      <c r="M12" s="12"/>
      <c r="N12" s="12"/>
      <c r="O12" s="12"/>
      <c r="P12" s="12"/>
      <c r="Q12" s="14"/>
      <c r="R12" s="12"/>
      <c r="S12" s="12"/>
      <c r="T12" s="12"/>
      <c r="U12" s="12"/>
      <c r="V12" s="12"/>
      <c r="W12" s="12"/>
    </row>
    <row r="13" spans="1:23" x14ac:dyDescent="0.25">
      <c r="A13" s="11"/>
      <c r="B13" s="12"/>
      <c r="C13" s="12"/>
      <c r="D13" s="12"/>
      <c r="E13" s="12"/>
      <c r="F13" s="12"/>
      <c r="G13" s="12"/>
      <c r="H13" s="12"/>
      <c r="I13" s="12"/>
      <c r="J13" s="12"/>
      <c r="K13" s="11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1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25">
      <c r="A15" s="11"/>
      <c r="B15" s="12"/>
      <c r="C15" s="12"/>
      <c r="D15" s="12"/>
      <c r="E15" s="12"/>
      <c r="F15" s="12"/>
      <c r="G15" s="12"/>
      <c r="H15" s="12"/>
      <c r="I15" s="12"/>
      <c r="J15" s="12"/>
      <c r="K15" s="11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1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2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1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25">
      <c r="A18" s="11"/>
      <c r="B18" s="12" t="s">
        <v>47</v>
      </c>
      <c r="C18" s="12"/>
      <c r="D18" s="12"/>
      <c r="E18" s="12"/>
      <c r="F18" s="12"/>
      <c r="G18" s="12"/>
      <c r="H18" s="12"/>
      <c r="I18" s="12"/>
      <c r="J18" s="12"/>
      <c r="K18" s="11"/>
      <c r="L18" s="12" t="s">
        <v>49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25">
      <c r="A19" s="11"/>
      <c r="B19" s="13">
        <v>0</v>
      </c>
      <c r="C19" s="12">
        <v>1</v>
      </c>
      <c r="D19" s="12">
        <v>2</v>
      </c>
      <c r="E19" s="12">
        <v>3</v>
      </c>
      <c r="F19" s="12">
        <v>4</v>
      </c>
      <c r="G19" s="12">
        <v>5</v>
      </c>
      <c r="H19" s="12"/>
      <c r="I19" s="12"/>
      <c r="J19" s="12"/>
      <c r="K19" s="11"/>
      <c r="L19" s="13">
        <v>0</v>
      </c>
      <c r="M19" s="12">
        <v>1</v>
      </c>
      <c r="N19" s="12">
        <v>2</v>
      </c>
      <c r="O19" s="12">
        <v>3</v>
      </c>
      <c r="P19" s="12">
        <v>4</v>
      </c>
      <c r="Q19" s="12">
        <v>5</v>
      </c>
      <c r="R19" s="12"/>
      <c r="S19" s="12"/>
      <c r="T19" s="12"/>
      <c r="U19" s="12"/>
      <c r="V19" s="12"/>
      <c r="W19" s="12"/>
    </row>
    <row r="20" spans="1:23" ht="31.5" x14ac:dyDescent="0.25">
      <c r="A20" s="11" t="str">
        <f>hubs!A1</f>
        <v>building cost of hubs</v>
      </c>
      <c r="B20" s="12">
        <v>100000</v>
      </c>
      <c r="C20" s="9">
        <v>100000</v>
      </c>
      <c r="D20" s="12">
        <v>100000</v>
      </c>
      <c r="E20" s="12">
        <v>100000</v>
      </c>
      <c r="F20" s="12">
        <v>100000</v>
      </c>
      <c r="G20" s="12"/>
      <c r="H20" s="12"/>
      <c r="I20" s="12"/>
      <c r="J20" s="12"/>
      <c r="K20" s="11" t="str">
        <f>goals!A1</f>
        <v>emissions of diesel trucks</v>
      </c>
      <c r="L20" s="12">
        <v>100</v>
      </c>
      <c r="M20" s="9">
        <v>100</v>
      </c>
      <c r="N20" s="12">
        <v>100</v>
      </c>
      <c r="O20" s="12">
        <v>100</v>
      </c>
      <c r="P20" s="12">
        <v>100</v>
      </c>
      <c r="Q20" s="12"/>
      <c r="R20" s="12"/>
      <c r="S20" s="12"/>
      <c r="T20" s="12"/>
      <c r="U20" s="12"/>
      <c r="V20" s="12"/>
      <c r="W20" s="12"/>
    </row>
    <row r="21" spans="1:23" ht="47.25" x14ac:dyDescent="0.25">
      <c r="A21" s="11" t="str">
        <f>hubs!A2</f>
        <v>maximum funds per unit of time</v>
      </c>
      <c r="B21" s="12">
        <v>10000</v>
      </c>
      <c r="C21" s="9">
        <v>10000</v>
      </c>
      <c r="D21" s="12">
        <v>10000</v>
      </c>
      <c r="E21" s="12">
        <v>10000</v>
      </c>
      <c r="F21" s="12">
        <v>10000</v>
      </c>
      <c r="G21" s="12"/>
      <c r="H21" s="12"/>
      <c r="I21" s="12"/>
      <c r="J21" s="12"/>
      <c r="K21" s="11" t="str">
        <f>goals!A2</f>
        <v>emissions of environmetally friendly vehicle types</v>
      </c>
      <c r="L21" s="12">
        <v>1</v>
      </c>
      <c r="M21" s="9">
        <v>1</v>
      </c>
      <c r="N21" s="12">
        <v>1</v>
      </c>
      <c r="O21" s="12">
        <v>1</v>
      </c>
      <c r="P21" s="12">
        <v>1</v>
      </c>
      <c r="Q21" s="12"/>
      <c r="R21" s="12"/>
      <c r="S21" s="12"/>
      <c r="T21" s="12"/>
      <c r="U21" s="12"/>
      <c r="V21" s="12"/>
      <c r="W21" s="12"/>
    </row>
    <row r="22" spans="1:23" x14ac:dyDescent="0.25">
      <c r="A22" s="11" t="str">
        <f>hubs!A3</f>
        <v>minimum utilization rate</v>
      </c>
      <c r="B22" s="12">
        <v>0.9</v>
      </c>
      <c r="C22" s="9">
        <v>0.9</v>
      </c>
      <c r="D22" s="12">
        <v>0.9</v>
      </c>
      <c r="E22" s="12">
        <v>0.9</v>
      </c>
      <c r="F22" s="12">
        <v>0.9</v>
      </c>
      <c r="G22" s="12"/>
      <c r="H22" s="12"/>
      <c r="I22" s="12"/>
      <c r="J22" s="12"/>
      <c r="K22" s="11" t="str">
        <f>goals!A3</f>
        <v>goal of co2 emissions</v>
      </c>
      <c r="L22" s="12">
        <v>300000000</v>
      </c>
      <c r="M22" s="9">
        <v>300000000</v>
      </c>
      <c r="N22" s="12">
        <v>300000000</v>
      </c>
      <c r="O22" s="12">
        <v>300000000</v>
      </c>
      <c r="P22" s="12">
        <v>300000000</v>
      </c>
      <c r="Q22" s="12"/>
      <c r="R22" s="12"/>
      <c r="S22" s="12"/>
      <c r="T22" s="12"/>
      <c r="U22" s="12"/>
      <c r="V22" s="12"/>
      <c r="W22" s="12"/>
    </row>
    <row r="23" spans="1:23" ht="31.5" x14ac:dyDescent="0.25">
      <c r="A23" s="11" t="str">
        <f>hubs!A4</f>
        <v>adjustment time for total utilized capacity</v>
      </c>
      <c r="B23" s="12">
        <v>24</v>
      </c>
      <c r="C23" s="9">
        <v>24</v>
      </c>
      <c r="D23" s="12">
        <v>24</v>
      </c>
      <c r="E23" s="12">
        <v>24</v>
      </c>
      <c r="F23" s="12">
        <v>24</v>
      </c>
      <c r="G23" s="12"/>
      <c r="H23" s="12"/>
      <c r="I23" s="12"/>
      <c r="J23" s="12"/>
      <c r="K23" s="11" t="str">
        <f>goals!A4</f>
        <v>goal of vehicle km</v>
      </c>
      <c r="L23" s="12">
        <f>2*10^13</f>
        <v>20000000000000</v>
      </c>
      <c r="M23" s="9">
        <f>2*10^13</f>
        <v>20000000000000</v>
      </c>
      <c r="N23" s="12">
        <f>2*10^13</f>
        <v>20000000000000</v>
      </c>
      <c r="O23" s="12">
        <f>2*10^13</f>
        <v>20000000000000</v>
      </c>
      <c r="P23" s="12">
        <f>2*10^13</f>
        <v>20000000000000</v>
      </c>
      <c r="Q23" s="12"/>
      <c r="R23" s="12"/>
      <c r="S23" s="12"/>
      <c r="T23" s="12"/>
      <c r="U23" s="12"/>
      <c r="V23" s="12"/>
      <c r="W23" s="12"/>
    </row>
    <row r="24" spans="1:23" ht="31.5" x14ac:dyDescent="0.25">
      <c r="A24" s="11" t="str">
        <f>hubs!A5</f>
        <v>total demand</v>
      </c>
      <c r="B24" s="15">
        <f>'variable assumptions and source'!B8</f>
        <v>3338155.3681021542</v>
      </c>
      <c r="C24" s="10">
        <f>'variable assumptions and source'!B8</f>
        <v>3338155.3681021542</v>
      </c>
      <c r="D24" s="15">
        <f>'variable assumptions and source'!B8</f>
        <v>3338155.3681021542</v>
      </c>
      <c r="E24" s="15">
        <f>'variable assumptions and source'!B8</f>
        <v>3338155.3681021542</v>
      </c>
      <c r="F24" s="15">
        <f>'variable assumptions and source'!B8</f>
        <v>3338155.3681021542</v>
      </c>
      <c r="G24" s="12"/>
      <c r="H24" s="12"/>
      <c r="I24" s="12"/>
      <c r="J24" s="12"/>
      <c r="K24" s="11" t="str">
        <f>goals!A5</f>
        <v>goal of co2 emissions on off</v>
      </c>
      <c r="L24" s="12">
        <v>1</v>
      </c>
      <c r="M24" s="9">
        <v>1</v>
      </c>
      <c r="N24" s="12">
        <v>1</v>
      </c>
      <c r="O24" s="12">
        <v>1</v>
      </c>
      <c r="P24" s="12">
        <v>1</v>
      </c>
      <c r="Q24" s="12"/>
      <c r="R24" s="12"/>
      <c r="S24" s="12"/>
      <c r="T24" s="12"/>
      <c r="U24" s="12"/>
      <c r="V24" s="12"/>
      <c r="W24" s="12"/>
    </row>
    <row r="25" spans="1:23" ht="31.5" x14ac:dyDescent="0.25">
      <c r="A25" s="11" t="str">
        <f>hubs!A6</f>
        <v>single hub capacity</v>
      </c>
      <c r="B25" s="12">
        <v>300000</v>
      </c>
      <c r="C25" s="9">
        <v>300000</v>
      </c>
      <c r="D25" s="12">
        <v>300000</v>
      </c>
      <c r="E25" s="12">
        <v>300000</v>
      </c>
      <c r="F25" s="12">
        <v>300000</v>
      </c>
      <c r="G25" s="12"/>
      <c r="H25" s="12"/>
      <c r="I25" s="12"/>
      <c r="J25" s="12"/>
      <c r="K25" s="11" t="str">
        <f>goals!A6</f>
        <v>goal of vehicle km on off</v>
      </c>
      <c r="L25" s="12">
        <v>1</v>
      </c>
      <c r="M25" s="9">
        <v>1</v>
      </c>
      <c r="N25" s="12">
        <v>1</v>
      </c>
      <c r="O25" s="12">
        <v>1</v>
      </c>
      <c r="P25" s="12">
        <v>1</v>
      </c>
      <c r="Q25" s="12"/>
      <c r="R25" s="12"/>
      <c r="S25" s="12"/>
      <c r="T25" s="12"/>
      <c r="U25" s="12"/>
      <c r="V25" s="12"/>
      <c r="W25" s="12"/>
    </row>
    <row r="26" spans="1:23" x14ac:dyDescent="0.25">
      <c r="A26" s="11" t="str">
        <f>hubs!A7</f>
        <v>public sector funds on off</v>
      </c>
      <c r="B26" s="12">
        <v>1</v>
      </c>
      <c r="C26" s="9">
        <v>1</v>
      </c>
      <c r="D26" s="12">
        <v>1</v>
      </c>
      <c r="E26" s="12">
        <v>1</v>
      </c>
      <c r="F26" s="12">
        <v>1</v>
      </c>
      <c r="G26" s="12"/>
      <c r="H26" s="12"/>
      <c r="I26" s="12"/>
      <c r="J26" s="12"/>
      <c r="K26" s="11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25">
      <c r="A27" s="11" t="str">
        <f>hubs!A8</f>
        <v>private sector funds on off</v>
      </c>
      <c r="B27" s="12">
        <v>0</v>
      </c>
      <c r="C27" s="9">
        <v>0</v>
      </c>
      <c r="D27" s="12">
        <v>0</v>
      </c>
      <c r="E27" s="12">
        <v>1</v>
      </c>
      <c r="F27" s="12">
        <v>1</v>
      </c>
      <c r="G27" s="12"/>
      <c r="H27" s="12"/>
      <c r="I27" s="12"/>
      <c r="J27" s="12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ht="31.5" x14ac:dyDescent="0.25">
      <c r="A28" s="11" t="str">
        <f>hubs!A9</f>
        <v>percentage of profit for hubs funds</v>
      </c>
      <c r="B28" s="12">
        <v>0</v>
      </c>
      <c r="C28" s="9">
        <v>0</v>
      </c>
      <c r="D28" s="12">
        <v>0</v>
      </c>
      <c r="E28" s="12">
        <v>0.5</v>
      </c>
      <c r="F28" s="12">
        <v>0.5</v>
      </c>
      <c r="G28" s="12"/>
      <c r="H28" s="12"/>
      <c r="I28" s="12"/>
      <c r="J28" s="12"/>
      <c r="K28" s="11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ht="31.5" x14ac:dyDescent="0.25">
      <c r="A29" s="11" t="str">
        <f>hubs!A10</f>
        <v>adjustment time for adding hubs</v>
      </c>
      <c r="B29" s="12">
        <v>24</v>
      </c>
      <c r="C29" s="9">
        <v>24</v>
      </c>
      <c r="D29" s="12">
        <v>24</v>
      </c>
      <c r="E29" s="12">
        <v>24</v>
      </c>
      <c r="F29" s="12">
        <v>24</v>
      </c>
      <c r="G29" s="12"/>
      <c r="H29" s="12"/>
      <c r="I29" s="12"/>
      <c r="J29" s="12"/>
      <c r="K29" s="11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25">
      <c r="A30" s="11" t="str">
        <f>hubs!A11</f>
        <v>time step of scrapping</v>
      </c>
      <c r="B30" s="12">
        <v>0</v>
      </c>
      <c r="C30" s="9">
        <v>0</v>
      </c>
      <c r="D30" s="12">
        <v>0</v>
      </c>
      <c r="E30" s="12">
        <v>0</v>
      </c>
      <c r="F30" s="12">
        <v>0</v>
      </c>
      <c r="G30" s="12"/>
      <c r="H30" s="12"/>
      <c r="I30" s="12"/>
      <c r="J30" s="12"/>
      <c r="K30" s="11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25">
      <c r="A31" s="11" t="str">
        <f>hubs!A12</f>
        <v>number of hubs scrapped</v>
      </c>
      <c r="B31" s="12">
        <v>0</v>
      </c>
      <c r="C31" s="9">
        <v>0</v>
      </c>
      <c r="D31" s="12">
        <v>0</v>
      </c>
      <c r="E31" s="12">
        <v>0</v>
      </c>
      <c r="F31" s="12">
        <v>0</v>
      </c>
      <c r="G31" s="12"/>
      <c r="H31" s="12"/>
      <c r="I31" s="12"/>
      <c r="J31" s="12"/>
      <c r="K31" s="11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25">
      <c r="A32" s="11"/>
      <c r="B32" s="12"/>
      <c r="C32" s="12"/>
      <c r="D32" s="12"/>
      <c r="E32" s="12"/>
      <c r="F32" s="12"/>
      <c r="G32" s="12"/>
      <c r="H32" s="12"/>
      <c r="I32" s="12"/>
      <c r="J32" s="12"/>
      <c r="K32" s="11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25">
      <c r="A33" s="11"/>
      <c r="B33" s="12" t="s">
        <v>70</v>
      </c>
      <c r="C33" s="12"/>
      <c r="D33" s="12"/>
      <c r="E33" s="12"/>
      <c r="F33" s="12"/>
      <c r="G33" s="12"/>
      <c r="H33" s="12"/>
      <c r="I33" s="12"/>
      <c r="J33" s="12"/>
      <c r="K33" s="11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25">
      <c r="A34" s="11"/>
      <c r="B34" s="12">
        <v>0</v>
      </c>
      <c r="C34" s="12">
        <v>1</v>
      </c>
      <c r="D34" s="12">
        <v>2</v>
      </c>
      <c r="E34" s="12">
        <v>3</v>
      </c>
      <c r="F34" s="12">
        <v>4</v>
      </c>
      <c r="G34" s="12"/>
      <c r="H34" s="12"/>
      <c r="I34" s="12"/>
      <c r="J34" s="12"/>
      <c r="K34" s="11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25">
      <c r="A35" s="11" t="str">
        <f>efficiencies!A1</f>
        <v>initial routing efficiency</v>
      </c>
      <c r="B35" s="12">
        <v>0.7</v>
      </c>
      <c r="C35" s="9">
        <v>0.7</v>
      </c>
      <c r="D35" s="12">
        <v>0.7</v>
      </c>
      <c r="E35" s="12">
        <v>0.7</v>
      </c>
      <c r="F35" s="12">
        <v>0.7</v>
      </c>
      <c r="G35" s="12"/>
      <c r="H35" s="12"/>
      <c r="I35" s="12"/>
      <c r="J35" s="12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25">
      <c r="A36" s="11" t="str">
        <f>efficiencies!A2</f>
        <v>maximum routing efficiency</v>
      </c>
      <c r="B36" s="12">
        <v>0.9</v>
      </c>
      <c r="C36" s="9">
        <v>0.9</v>
      </c>
      <c r="D36" s="12">
        <v>0.9</v>
      </c>
      <c r="E36" s="12">
        <v>0.9</v>
      </c>
      <c r="F36" s="12">
        <v>0.95</v>
      </c>
      <c r="G36" s="12"/>
      <c r="H36" s="12"/>
      <c r="I36" s="12"/>
      <c r="J36" s="12"/>
      <c r="K36" s="11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25">
      <c r="A37" s="11" t="str">
        <f>efficiencies!A3</f>
        <v>initial fill rate</v>
      </c>
      <c r="B37" s="12">
        <v>0.6</v>
      </c>
      <c r="C37" s="9">
        <v>0.6</v>
      </c>
      <c r="D37" s="12">
        <v>0.6</v>
      </c>
      <c r="E37" s="12">
        <v>0.6</v>
      </c>
      <c r="F37" s="12">
        <v>0.6</v>
      </c>
      <c r="G37" s="12"/>
      <c r="H37" s="12"/>
      <c r="I37" s="12"/>
      <c r="J37" s="12"/>
      <c r="K37" s="11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25">
      <c r="A38" s="11" t="str">
        <f>efficiencies!A4</f>
        <v>maximum fill rate</v>
      </c>
      <c r="B38" s="12">
        <v>0.8</v>
      </c>
      <c r="C38" s="9">
        <v>0.8</v>
      </c>
      <c r="D38" s="12">
        <v>0.8</v>
      </c>
      <c r="E38" s="12">
        <v>0.8</v>
      </c>
      <c r="F38" s="12">
        <v>0.9</v>
      </c>
      <c r="G38" s="12"/>
      <c r="H38" s="12"/>
      <c r="I38" s="12"/>
      <c r="J38" s="12"/>
      <c r="K38" s="11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25">
      <c r="A39" s="11" t="str">
        <f>efficiencies!A5</f>
        <v>minimum delivery time</v>
      </c>
      <c r="B39" s="12">
        <v>3</v>
      </c>
      <c r="C39" s="9">
        <v>3</v>
      </c>
      <c r="D39" s="12">
        <v>3</v>
      </c>
      <c r="E39" s="12">
        <v>3</v>
      </c>
      <c r="F39" s="12">
        <v>3</v>
      </c>
      <c r="G39" s="12"/>
      <c r="H39" s="12"/>
      <c r="I39" s="12"/>
      <c r="J39" s="12"/>
      <c r="K39" s="11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25">
      <c r="A40" s="11" t="str">
        <f>efficiencies!A6</f>
        <v>initial delivery time</v>
      </c>
      <c r="B40" s="12">
        <v>5</v>
      </c>
      <c r="C40" s="9">
        <v>5</v>
      </c>
      <c r="D40" s="12">
        <v>5</v>
      </c>
      <c r="E40" s="12">
        <v>5</v>
      </c>
      <c r="F40" s="12">
        <v>5</v>
      </c>
      <c r="G40" s="12"/>
      <c r="H40" s="12"/>
      <c r="I40" s="12"/>
      <c r="J40" s="12"/>
      <c r="K40" s="11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ht="47.25" x14ac:dyDescent="0.25">
      <c r="A41" s="11" t="str">
        <f>efficiencies!A7</f>
        <v>multiplier for effect of using hub capacity on increase in routing efficiency</v>
      </c>
      <c r="B41" s="12">
        <v>5</v>
      </c>
      <c r="C41" s="9">
        <v>5</v>
      </c>
      <c r="D41" s="12">
        <v>5</v>
      </c>
      <c r="E41" s="12">
        <v>5</v>
      </c>
      <c r="F41" s="12">
        <v>5</v>
      </c>
    </row>
    <row r="42" spans="1:23" ht="47.25" x14ac:dyDescent="0.25">
      <c r="A42" s="11" t="str">
        <f>efficiencies!A8</f>
        <v>multiplier for effect of using hub capacity on increase in fill rate</v>
      </c>
      <c r="B42" s="12">
        <v>5</v>
      </c>
      <c r="C42" s="9">
        <v>5</v>
      </c>
      <c r="D42" s="12">
        <v>5</v>
      </c>
      <c r="E42" s="12">
        <v>5</v>
      </c>
      <c r="F42" s="12">
        <v>5</v>
      </c>
    </row>
    <row r="43" spans="1:23" ht="47.25" x14ac:dyDescent="0.25">
      <c r="A43" s="11" t="str">
        <f>efficiencies!A9</f>
        <v>multiplier for effect of using hub capacity on decrease in delivery time</v>
      </c>
      <c r="B43" s="12">
        <v>5</v>
      </c>
      <c r="C43" s="9">
        <v>5</v>
      </c>
      <c r="D43" s="12">
        <v>5</v>
      </c>
      <c r="E43" s="12">
        <v>5</v>
      </c>
      <c r="F43" s="12">
        <v>5</v>
      </c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638175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2022-12-06T12:37:42Z</dcterms:modified>
</cp:coreProperties>
</file>