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xr:revisionPtr revIDLastSave="0" documentId="13_ncr:1_{BDC42C2D-DE6D-4E8F-BB50-7CF1C59FE5E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1" i="7" l="1"/>
  <c r="A42" i="7"/>
  <c r="A43" i="7"/>
  <c r="A29" i="7"/>
  <c r="K11" i="7"/>
  <c r="A39" i="7"/>
  <c r="A40" i="7"/>
  <c r="P23" i="7" l="1"/>
  <c r="O23" i="7"/>
  <c r="N23" i="7"/>
  <c r="M23" i="7"/>
  <c r="L23" i="7"/>
  <c r="K10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B6" i="6" l="1"/>
  <c r="B5" i="6"/>
  <c r="B4" i="6"/>
  <c r="B14" i="6" s="1"/>
  <c r="B7" i="6" l="1"/>
  <c r="B8" i="6" s="1"/>
  <c r="E24" i="7" l="1"/>
  <c r="F24" i="7"/>
  <c r="C24" i="7"/>
  <c r="B24" i="7"/>
  <c r="D24" i="7"/>
  <c r="B15" i="6"/>
  <c r="B16" i="6" s="1"/>
</calcChain>
</file>

<file path=xl/sharedStrings.xml><?xml version="1.0" encoding="utf-8"?>
<sst xmlns="http://schemas.openxmlformats.org/spreadsheetml/2006/main" count="103" uniqueCount="82">
  <si>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</si>
  <si>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</si>
  <si>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</si>
  <si>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</si>
  <si>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</si>
  <si>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</si>
  <si>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</si>
  <si>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</si>
  <si>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</si>
  <si>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</si>
  <si>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</si>
  <si>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</si>
  <si>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</si>
  <si>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</si>
  <si>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</si>
  <si>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</si>
  <si>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</si>
  <si>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</si>
  <si>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</si>
  <si>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</si>
  <si>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</si>
  <si>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</si>
  <si>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</si>
  <si>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</si>
  <si>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</si>
  <si>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</si>
  <si>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</si>
  <si>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</si>
  <si>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</si>
  <si>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</si>
  <si>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</si>
  <si>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</si>
  <si>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</si>
  <si>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</si>
  <si>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</si>
  <si>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</si>
  <si>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</si>
  <si>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</si>
  <si>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</si>
  <si>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</si>
  <si>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</si>
  <si>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</si>
  <si>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</si>
  <si>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</si>
  <si>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</si>
  <si>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</si>
  <si>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</si>
  <si>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</si>
  <si>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</si>
  <si>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</si>
  <si>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</si>
  <si>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</si>
  <si>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</si>
  <si>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</si>
  <si>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</si>
  <si>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</si>
  <si>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</si>
  <si>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</si>
  <si>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</si>
  <si>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</si>
  <si>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</si>
  <si>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</si>
  <si>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</si>
  <si>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</si>
  <si>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</si>
  <si>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</si>
  <si>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</si>
  <si>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</si>
  <si>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</si>
  <si>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</si>
  <si>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</si>
  <si>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</si>
  <si>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</si>
  <si>
    <t>minimum delivery time</t>
  </si>
  <si>
    <t>initial delivery time</t>
  </si>
  <si>
    <t>Hour/Box</t>
  </si>
  <si>
    <t>cost per hour</t>
  </si>
  <si>
    <t>$/Hour</t>
  </si>
  <si>
    <t>adjustment time for adding hubs</t>
  </si>
  <si>
    <t>multiplier for effect of using hub capacity on increase in routing efficiency</t>
  </si>
  <si>
    <t>multiplier for effect of using hub capacity on increase in fill rate</t>
  </si>
  <si>
    <t>multiplier for effect of using hub capacity on decrease in delivery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</si>
</sst>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64" fontId="0" fillId="0" borderId="0" xfId="0" applyNumberFormat="1"/>
    <xf numFmtId="0" fontId="2" fillId="0" borderId="0" xfId="0" applyFont="1" applyAlignment="1">
      <alignment wrapText="1"/>
    </xf>
    <xf numFmtId="0" fontId="3" fillId="3" borderId="0" xfId="0" applyFont="1" applyFill="1"/>
    <xf numFmtId="0" fontId="0" fillId="4" borderId="0" xfId="0" applyFill="1"/>
    <xf numFmtId="11" fontId="0" fillId="4" borderId="0" xfId="0" applyNumberFormat="1" applyFill="1"/>
    <xf numFmtId="0" fontId="0" fillId="0" borderId="0" xfId="0" quotePrefix="1"/>
    <xf numFmtId="0" fontId="5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6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0</xdr:row>
          <xdr:rowOff>47625</xdr:rowOff>
        </xdr:from>
        <xdr:to>
          <xdr:col>9</xdr:col>
          <xdr:colOff>180975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orldpopulationreview.com/world-cities/stockholm-population" TargetMode="External"/><Relationship Id="rId1" Type="http://schemas.openxmlformats.org/officeDocument/2006/relationships/hyperlink" Target="https://worldpopulationreview.com/countries/sweden-population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tabSelected="1" workbookViewId="0">
      <selection activeCell="C5" sqref="C5"/>
    </sheetView>
  </sheetViews>
  <sheetFormatPr defaultColWidth="8.875" defaultRowHeight="15.75" x14ac:dyDescent="0.25"/>
  <cols>
    <col min="1" max="1" width="32.625" customWidth="1"/>
    <col min="2" max="2" width="11.875" bestFit="1" customWidth="1"/>
    <col min="3" max="3" width="32" customWidth="1"/>
  </cols>
  <sheetData>
    <row r="1" spans="1:4" x14ac:dyDescent="0.25">
      <c r="A1" s="13" t="s">
        <v>26</v>
      </c>
      <c r="B1" s="13"/>
      <c r="C1" s="13"/>
    </row>
    <row r="2" spans="1:4" x14ac:dyDescent="0.25">
      <c r="A2" s="5" t="s">
        <v>27</v>
      </c>
      <c r="B2" s="1">
        <v>10173195</v>
      </c>
      <c r="C2" s="15" t="s">
        <v>30</v>
      </c>
    </row>
    <row r="3" spans="1:4" x14ac:dyDescent="0.25">
      <c r="A3" s="5" t="s">
        <v>28</v>
      </c>
      <c r="B3" s="1">
        <v>1656571</v>
      </c>
      <c r="C3" s="15" t="s">
        <v>29</v>
      </c>
    </row>
    <row r="4" spans="1:4" ht="31.5" x14ac:dyDescent="0.25">
      <c r="A4" s="5" t="s">
        <v>31</v>
      </c>
      <c r="B4">
        <f>B3/B2</f>
        <v>0.16283684722449535</v>
      </c>
    </row>
    <row r="5" spans="1:4" x14ac:dyDescent="0.25">
      <c r="A5" s="5" t="s">
        <v>35</v>
      </c>
      <c r="B5" s="3">
        <f>1.8055*10^9</f>
        <v>1805500000</v>
      </c>
      <c r="C5" t="s">
        <v>32</v>
      </c>
    </row>
    <row r="6" spans="1:4" x14ac:dyDescent="0.25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1.5" x14ac:dyDescent="0.25">
      <c r="A7" s="5" t="s">
        <v>36</v>
      </c>
      <c r="B7" s="3">
        <f>B6*B4</f>
        <v>40057864.417225853</v>
      </c>
    </row>
    <row r="8" spans="1:4" ht="31.5" x14ac:dyDescent="0.25">
      <c r="A8" s="5" t="s">
        <v>37</v>
      </c>
      <c r="B8" s="4">
        <f>B7/12</f>
        <v>3338155.3681021542</v>
      </c>
    </row>
    <row r="12" spans="1:4" x14ac:dyDescent="0.25">
      <c r="A12" s="13" t="s">
        <v>38</v>
      </c>
      <c r="B12" s="13"/>
      <c r="C12" s="13"/>
    </row>
    <row r="13" spans="1:4" ht="31.5" x14ac:dyDescent="0.25">
      <c r="A13" s="5" t="s">
        <v>39</v>
      </c>
      <c r="B13" s="6">
        <v>1503.7</v>
      </c>
      <c r="C13" s="7" t="s">
        <v>40</v>
      </c>
      <c r="D13" t="s">
        <v>44</v>
      </c>
    </row>
    <row r="14" spans="1:4" x14ac:dyDescent="0.25">
      <c r="A14" t="s">
        <v>41</v>
      </c>
      <c r="B14">
        <f>B13*B4</f>
        <v>244.85776717147365</v>
      </c>
      <c r="C14" s="7" t="s">
        <v>40</v>
      </c>
    </row>
    <row r="15" spans="1:4" x14ac:dyDescent="0.25">
      <c r="A15" t="s">
        <v>42</v>
      </c>
      <c r="B15" s="3">
        <f>B14/B8</f>
        <v>7.3351219512195133E-5</v>
      </c>
      <c r="C15" s="7" t="s">
        <v>40</v>
      </c>
    </row>
    <row r="16" spans="1:4" x14ac:dyDescent="0.25">
      <c r="A16" t="s">
        <v>42</v>
      </c>
      <c r="B16" s="2">
        <f>B15*10^6</f>
        <v>73.351219512195129</v>
      </c>
      <c r="C16" s="7" t="s">
        <v>43</v>
      </c>
    </row>
  </sheetData>
  <mergeCells count="2">
    <mergeCell ref="A1:C1"/>
    <mergeCell ref="A12:C12"/>
  </mergeCells>
  <hyperlinks>
    <hyperlink ref="C2" r:id="rId1" xr:uid="{6AEBF3AA-95D7-4520-986C-C7F8FD7AFBB0}"/>
    <hyperlink ref="C3" r:id="rId2" xr:uid="{3164E019-2504-4AAF-A6DC-FA726406BEDF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workbookViewId="0">
      <selection activeCell="C36" sqref="C36"/>
    </sheetView>
  </sheetViews>
  <sheetFormatPr defaultColWidth="11" defaultRowHeight="15.75" x14ac:dyDescent="0.25"/>
  <cols>
    <col min="1" max="1" width="29.625" bestFit="1" customWidth="1"/>
    <col min="2" max="2" width="12.125" bestFit="1" customWidth="1"/>
  </cols>
  <sheetData>
    <row r="1" spans="1:3" x14ac:dyDescent="0.25">
      <c r="A1" t="s">
        <v>0</v>
      </c>
      <c r="B1">
        <v>50</v>
      </c>
      <c r="C1" t="s">
        <v>18</v>
      </c>
    </row>
    <row r="2" spans="1:3" x14ac:dyDescent="0.25">
      <c r="A2" t="s">
        <v>1</v>
      </c>
      <c r="B2">
        <v>0.1</v>
      </c>
      <c r="C2" t="s">
        <v>19</v>
      </c>
    </row>
    <row r="3" spans="1:3" x14ac:dyDescent="0.25">
      <c r="A3" t="s">
        <v>12</v>
      </c>
      <c r="B3">
        <v>0</v>
      </c>
      <c r="C3" t="s">
        <v>19</v>
      </c>
    </row>
    <row r="4" spans="1:3" x14ac:dyDescent="0.25">
      <c r="A4" t="s">
        <v>11</v>
      </c>
      <c r="B4">
        <v>0</v>
      </c>
      <c r="C4" t="s">
        <v>20</v>
      </c>
    </row>
    <row r="5" spans="1:3" x14ac:dyDescent="0.25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"/>
  <sheetViews>
    <sheetView workbookViewId="0">
      <selection activeCell="A10" sqref="A10"/>
    </sheetView>
  </sheetViews>
  <sheetFormatPr defaultColWidth="11" defaultRowHeight="15.75" x14ac:dyDescent="0.25"/>
  <cols>
    <col min="1" max="1" width="36.625" bestFit="1" customWidth="1"/>
    <col min="2" max="2" width="12.375" bestFit="1" customWidth="1"/>
  </cols>
  <sheetData>
    <row r="1" spans="1:3" x14ac:dyDescent="0.25">
      <c r="A1" t="s">
        <v>2</v>
      </c>
      <c r="B1">
        <v>100000</v>
      </c>
      <c r="C1" t="s">
        <v>21</v>
      </c>
    </row>
    <row r="2" spans="1:3" x14ac:dyDescent="0.25">
      <c r="A2" t="s">
        <v>3</v>
      </c>
      <c r="B2">
        <v>10000</v>
      </c>
      <c r="C2" t="s">
        <v>22</v>
      </c>
    </row>
    <row r="3" spans="1:3" x14ac:dyDescent="0.25">
      <c r="A3" t="s">
        <v>17</v>
      </c>
      <c r="B3">
        <v>0.9</v>
      </c>
      <c r="C3" t="s">
        <v>8</v>
      </c>
    </row>
    <row r="4" spans="1:3" x14ac:dyDescent="0.25">
      <c r="A4" t="s">
        <v>23</v>
      </c>
      <c r="B4">
        <v>24</v>
      </c>
      <c r="C4" t="s">
        <v>24</v>
      </c>
    </row>
    <row r="5" spans="1:3" x14ac:dyDescent="0.25">
      <c r="A5" t="s">
        <v>4</v>
      </c>
      <c r="B5">
        <v>3338155.3681021542</v>
      </c>
      <c r="C5" t="s">
        <v>6</v>
      </c>
    </row>
    <row r="6" spans="1:3" x14ac:dyDescent="0.25">
      <c r="A6" t="s">
        <v>5</v>
      </c>
      <c r="B6">
        <v>300000</v>
      </c>
      <c r="C6" t="s">
        <v>7</v>
      </c>
    </row>
    <row r="7" spans="1:3" x14ac:dyDescent="0.25">
      <c r="A7" t="s">
        <v>50</v>
      </c>
      <c r="B7">
        <v>1</v>
      </c>
      <c r="C7" t="s">
        <v>8</v>
      </c>
    </row>
    <row r="8" spans="1:3" x14ac:dyDescent="0.25">
      <c r="A8" t="s">
        <v>51</v>
      </c>
      <c r="B8">
        <v>0</v>
      </c>
      <c r="C8" t="s">
        <v>8</v>
      </c>
    </row>
    <row r="9" spans="1:3" x14ac:dyDescent="0.25">
      <c r="A9" t="s">
        <v>52</v>
      </c>
      <c r="B9">
        <v>0</v>
      </c>
      <c r="C9" t="s">
        <v>8</v>
      </c>
    </row>
    <row r="10" spans="1:3" x14ac:dyDescent="0.25">
      <c r="A10" t="s">
        <v>78</v>
      </c>
      <c r="B10">
        <v>24</v>
      </c>
      <c r="C10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"/>
  <sheetViews>
    <sheetView workbookViewId="0">
      <selection activeCell="B7" sqref="B7"/>
    </sheetView>
  </sheetViews>
  <sheetFormatPr defaultColWidth="8.875" defaultRowHeight="15.75" x14ac:dyDescent="0.25"/>
  <cols>
    <col min="1" max="1" width="47.875" bestFit="1" customWidth="1"/>
  </cols>
  <sheetData>
    <row r="1" spans="1:3" x14ac:dyDescent="0.25">
      <c r="A1" t="s">
        <v>9</v>
      </c>
      <c r="B1">
        <v>100</v>
      </c>
      <c r="C1" t="s">
        <v>10</v>
      </c>
    </row>
    <row r="2" spans="1:3" x14ac:dyDescent="0.25">
      <c r="A2" t="s">
        <v>65</v>
      </c>
      <c r="B2">
        <v>1</v>
      </c>
      <c r="C2" t="s">
        <v>53</v>
      </c>
    </row>
    <row r="3" spans="1:3" x14ac:dyDescent="0.25">
      <c r="A3" t="s">
        <v>66</v>
      </c>
      <c r="B3">
        <v>1</v>
      </c>
      <c r="C3" t="s">
        <v>54</v>
      </c>
    </row>
    <row r="4" spans="1:3" x14ac:dyDescent="0.25">
      <c r="A4" t="s">
        <v>55</v>
      </c>
      <c r="B4">
        <v>50</v>
      </c>
      <c r="C4" t="s">
        <v>57</v>
      </c>
    </row>
    <row r="5" spans="1:3" x14ac:dyDescent="0.25">
      <c r="A5" t="s">
        <v>56</v>
      </c>
      <c r="B5">
        <v>50</v>
      </c>
      <c r="C5" t="s">
        <v>58</v>
      </c>
    </row>
    <row r="6" spans="1:3" x14ac:dyDescent="0.25">
      <c r="A6" t="s">
        <v>71</v>
      </c>
      <c r="B6">
        <v>1</v>
      </c>
      <c r="C6" t="s">
        <v>72</v>
      </c>
    </row>
    <row r="7" spans="1:3" x14ac:dyDescent="0.25">
      <c r="A7" t="s">
        <v>76</v>
      </c>
      <c r="B7">
        <v>10</v>
      </c>
      <c r="C7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9"/>
  <sheetViews>
    <sheetView workbookViewId="0">
      <selection activeCell="A7" sqref="A7"/>
    </sheetView>
  </sheetViews>
  <sheetFormatPr defaultColWidth="8.875" defaultRowHeight="15.75" x14ac:dyDescent="0.25"/>
  <cols>
    <col min="1" max="1" width="63.875" bestFit="1" customWidth="1"/>
  </cols>
  <sheetData>
    <row r="1" spans="1:3" x14ac:dyDescent="0.25">
      <c r="A1" t="s">
        <v>59</v>
      </c>
      <c r="B1">
        <v>0.7</v>
      </c>
      <c r="C1" t="s">
        <v>8</v>
      </c>
    </row>
    <row r="2" spans="1:3" x14ac:dyDescent="0.25">
      <c r="A2" t="s">
        <v>60</v>
      </c>
      <c r="B2">
        <v>0.9</v>
      </c>
      <c r="C2" t="s">
        <v>8</v>
      </c>
    </row>
    <row r="3" spans="1:3" x14ac:dyDescent="0.25">
      <c r="A3" t="s">
        <v>61</v>
      </c>
      <c r="B3">
        <v>0.6</v>
      </c>
      <c r="C3" t="s">
        <v>8</v>
      </c>
    </row>
    <row r="4" spans="1:3" x14ac:dyDescent="0.25">
      <c r="A4" t="s">
        <v>62</v>
      </c>
      <c r="B4">
        <v>0.8</v>
      </c>
      <c r="C4" t="s">
        <v>8</v>
      </c>
    </row>
    <row r="5" spans="1:3" x14ac:dyDescent="0.25">
      <c r="A5" t="s">
        <v>73</v>
      </c>
      <c r="B5">
        <v>3</v>
      </c>
      <c r="C5" t="s">
        <v>75</v>
      </c>
    </row>
    <row r="6" spans="1:3" x14ac:dyDescent="0.25">
      <c r="A6" t="s">
        <v>74</v>
      </c>
      <c r="B6">
        <v>5</v>
      </c>
      <c r="C6" t="s">
        <v>75</v>
      </c>
    </row>
    <row r="7" spans="1:3" x14ac:dyDescent="0.25">
      <c r="A7" t="s">
        <v>79</v>
      </c>
      <c r="B7">
        <v>5</v>
      </c>
      <c r="C7" t="s">
        <v>8</v>
      </c>
    </row>
    <row r="8" spans="1:3" x14ac:dyDescent="0.25">
      <c r="A8" t="s">
        <v>80</v>
      </c>
      <c r="B8">
        <v>5</v>
      </c>
      <c r="C8" t="s">
        <v>8</v>
      </c>
    </row>
    <row r="9" spans="1:3" x14ac:dyDescent="0.25">
      <c r="A9" t="s">
        <v>81</v>
      </c>
      <c r="B9">
        <v>5</v>
      </c>
      <c r="C9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6"/>
  <sheetViews>
    <sheetView workbookViewId="0">
      <selection activeCell="B4" sqref="B4:B6"/>
    </sheetView>
  </sheetViews>
  <sheetFormatPr defaultColWidth="8.875" defaultRowHeight="15.75" x14ac:dyDescent="0.25"/>
  <cols>
    <col min="1" max="1" width="42.375" bestFit="1" customWidth="1"/>
    <col min="2" max="2" width="10.875" bestFit="1" customWidth="1"/>
  </cols>
  <sheetData>
    <row r="1" spans="1:3" x14ac:dyDescent="0.25">
      <c r="A1" t="s">
        <v>13</v>
      </c>
      <c r="B1">
        <v>100</v>
      </c>
      <c r="C1" t="s">
        <v>67</v>
      </c>
    </row>
    <row r="2" spans="1:3" x14ac:dyDescent="0.25">
      <c r="A2" t="s">
        <v>14</v>
      </c>
      <c r="B2">
        <v>1</v>
      </c>
      <c r="C2" t="s">
        <v>67</v>
      </c>
    </row>
    <row r="3" spans="1:3" x14ac:dyDescent="0.25">
      <c r="A3" t="s">
        <v>15</v>
      </c>
      <c r="B3">
        <v>300000000</v>
      </c>
      <c r="C3" t="s">
        <v>16</v>
      </c>
    </row>
    <row r="4" spans="1:3" x14ac:dyDescent="0.25">
      <c r="A4" t="s">
        <v>63</v>
      </c>
      <c r="B4">
        <v>20000000000000</v>
      </c>
      <c r="C4" t="s">
        <v>64</v>
      </c>
    </row>
    <row r="5" spans="1:3" x14ac:dyDescent="0.25">
      <c r="A5" t="s">
        <v>68</v>
      </c>
      <c r="B5">
        <v>1</v>
      </c>
      <c r="C5" t="s">
        <v>8</v>
      </c>
    </row>
    <row r="6" spans="1:3" x14ac:dyDescent="0.25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43"/>
  <sheetViews>
    <sheetView topLeftCell="A25" zoomScale="80" zoomScaleNormal="80" workbookViewId="0">
      <selection activeCell="D54" sqref="D54"/>
    </sheetView>
  </sheetViews>
  <sheetFormatPr defaultColWidth="8.875" defaultRowHeight="15.75" x14ac:dyDescent="0.25"/>
  <cols>
    <col min="1" max="1" width="26.125" style="5" customWidth="1"/>
    <col min="11" max="11" width="20.375" style="5" customWidth="1"/>
  </cols>
  <sheetData>
    <row r="1" spans="1:17" x14ac:dyDescent="0.25">
      <c r="B1" s="14" t="s">
        <v>45</v>
      </c>
      <c r="C1" s="14"/>
      <c r="D1" s="14"/>
      <c r="E1" s="8">
        <v>1</v>
      </c>
    </row>
    <row r="3" spans="1:17" x14ac:dyDescent="0.25">
      <c r="B3" t="s">
        <v>46</v>
      </c>
      <c r="L3" t="s">
        <v>48</v>
      </c>
    </row>
    <row r="4" spans="1:17" x14ac:dyDescent="0.25">
      <c r="B4" s="11">
        <v>0</v>
      </c>
      <c r="C4">
        <v>1</v>
      </c>
      <c r="D4">
        <v>2</v>
      </c>
      <c r="E4">
        <v>3</v>
      </c>
      <c r="F4">
        <v>4</v>
      </c>
      <c r="G4">
        <v>5</v>
      </c>
      <c r="L4" s="11">
        <v>0</v>
      </c>
      <c r="M4">
        <v>1</v>
      </c>
      <c r="N4">
        <v>2</v>
      </c>
      <c r="O4">
        <v>3</v>
      </c>
      <c r="P4">
        <v>4</v>
      </c>
      <c r="Q4">
        <v>5</v>
      </c>
    </row>
    <row r="5" spans="1:17" ht="31.5" x14ac:dyDescent="0.25">
      <c r="A5" s="5" t="str">
        <f>company!A1</f>
        <v>total number of companies</v>
      </c>
      <c r="B5">
        <v>50</v>
      </c>
      <c r="C5" s="9">
        <v>50</v>
      </c>
      <c r="D5">
        <v>50</v>
      </c>
      <c r="E5">
        <v>50</v>
      </c>
      <c r="F5">
        <v>50</v>
      </c>
      <c r="K5" s="5" t="str">
        <f>cost!A1</f>
        <v>total operation cost of one hub</v>
      </c>
      <c r="L5">
        <v>100</v>
      </c>
      <c r="M5" s="9">
        <v>100</v>
      </c>
      <c r="N5">
        <v>100</v>
      </c>
      <c r="O5">
        <v>100</v>
      </c>
      <c r="P5">
        <v>100</v>
      </c>
    </row>
    <row r="6" spans="1:17" ht="47.25" x14ac:dyDescent="0.25">
      <c r="A6" s="5" t="str">
        <f>company!A2</f>
        <v>company contact rate</v>
      </c>
      <c r="B6">
        <v>0.1</v>
      </c>
      <c r="C6" s="9">
        <v>0.1</v>
      </c>
      <c r="D6">
        <v>0.1</v>
      </c>
      <c r="E6">
        <v>0.1</v>
      </c>
      <c r="F6">
        <v>0.1</v>
      </c>
      <c r="K6" s="5" t="str">
        <f>cost!A2</f>
        <v>minimum number of vehicles required to satisfy the demand</v>
      </c>
      <c r="L6">
        <v>1</v>
      </c>
      <c r="M6" s="9">
        <v>1</v>
      </c>
      <c r="N6">
        <v>1</v>
      </c>
      <c r="O6">
        <v>1</v>
      </c>
      <c r="P6">
        <v>1</v>
      </c>
    </row>
    <row r="7" spans="1:17" ht="31.5" x14ac:dyDescent="0.25">
      <c r="A7" s="5" t="str">
        <f>company!A3</f>
        <v>initial company adoption fraction</v>
      </c>
      <c r="B7">
        <v>0</v>
      </c>
      <c r="C7" s="9">
        <v>0</v>
      </c>
      <c r="D7">
        <v>0.3</v>
      </c>
      <c r="E7">
        <v>0.3</v>
      </c>
      <c r="F7">
        <v>0.3</v>
      </c>
      <c r="K7" s="5" t="str">
        <f>cost!A3</f>
        <v>minimum km required to satisfy the demand</v>
      </c>
      <c r="L7">
        <v>1</v>
      </c>
      <c r="M7" s="9">
        <v>1</v>
      </c>
      <c r="N7">
        <v>1</v>
      </c>
      <c r="O7">
        <v>1</v>
      </c>
      <c r="P7">
        <v>1</v>
      </c>
    </row>
    <row r="8" spans="1:17" x14ac:dyDescent="0.25">
      <c r="A8" s="5" t="str">
        <f>company!A4</f>
        <v>initial push time</v>
      </c>
      <c r="B8">
        <v>0</v>
      </c>
      <c r="C8" s="9">
        <v>0</v>
      </c>
      <c r="D8">
        <v>36</v>
      </c>
      <c r="E8">
        <v>36</v>
      </c>
      <c r="F8">
        <v>36</v>
      </c>
      <c r="K8" s="5" t="str">
        <f>cost!A4</f>
        <v>cost per vehicle</v>
      </c>
      <c r="L8">
        <v>10</v>
      </c>
      <c r="M8" s="9">
        <v>50</v>
      </c>
      <c r="N8">
        <v>50</v>
      </c>
      <c r="O8">
        <v>50</v>
      </c>
      <c r="P8">
        <v>50</v>
      </c>
    </row>
    <row r="9" spans="1:17" ht="31.5" x14ac:dyDescent="0.25">
      <c r="A9" s="5" t="str">
        <f>company!A5</f>
        <v>average delay time in dropping out</v>
      </c>
      <c r="B9">
        <v>36</v>
      </c>
      <c r="C9" s="9">
        <v>36</v>
      </c>
      <c r="D9">
        <v>36</v>
      </c>
      <c r="E9">
        <v>36</v>
      </c>
      <c r="F9">
        <v>36</v>
      </c>
      <c r="K9" s="5" t="str">
        <f>cost!A5</f>
        <v>cost per km</v>
      </c>
      <c r="L9">
        <v>10</v>
      </c>
      <c r="M9" s="9">
        <v>50</v>
      </c>
      <c r="N9">
        <v>50</v>
      </c>
      <c r="O9">
        <v>50</v>
      </c>
      <c r="P9">
        <v>50</v>
      </c>
    </row>
    <row r="10" spans="1:17" ht="31.5" x14ac:dyDescent="0.25">
      <c r="K10" s="5" t="str">
        <f>cost!A6</f>
        <v>extra handling cost per box</v>
      </c>
      <c r="L10">
        <v>10</v>
      </c>
      <c r="M10" s="9">
        <v>1</v>
      </c>
      <c r="N10">
        <v>1</v>
      </c>
      <c r="O10">
        <v>1</v>
      </c>
      <c r="P10">
        <v>1</v>
      </c>
    </row>
    <row r="11" spans="1:17" x14ac:dyDescent="0.25">
      <c r="K11" s="5" t="str">
        <f>cost!A7</f>
        <v>cost per hour</v>
      </c>
      <c r="L11">
        <v>10</v>
      </c>
      <c r="M11" s="9">
        <v>10</v>
      </c>
      <c r="N11">
        <v>10</v>
      </c>
      <c r="O11">
        <v>10</v>
      </c>
      <c r="P11">
        <v>10</v>
      </c>
    </row>
    <row r="12" spans="1:17" x14ac:dyDescent="0.25">
      <c r="Q12" s="12"/>
    </row>
    <row r="18" spans="1:17" x14ac:dyDescent="0.25">
      <c r="B18" t="s">
        <v>47</v>
      </c>
      <c r="L18" t="s">
        <v>49</v>
      </c>
    </row>
    <row r="19" spans="1:17" x14ac:dyDescent="0.25">
      <c r="B19" s="11">
        <v>0</v>
      </c>
      <c r="C19">
        <v>1</v>
      </c>
      <c r="D19">
        <v>2</v>
      </c>
      <c r="E19">
        <v>3</v>
      </c>
      <c r="F19">
        <v>4</v>
      </c>
      <c r="G19">
        <v>5</v>
      </c>
      <c r="L19" s="11">
        <v>0</v>
      </c>
      <c r="M19">
        <v>1</v>
      </c>
      <c r="N19">
        <v>2</v>
      </c>
      <c r="O19">
        <v>3</v>
      </c>
      <c r="P19">
        <v>4</v>
      </c>
      <c r="Q19">
        <v>5</v>
      </c>
    </row>
    <row r="20" spans="1:17" ht="31.5" x14ac:dyDescent="0.25">
      <c r="A20" s="5" t="str">
        <f>hubs!A1</f>
        <v>building cost of hubs</v>
      </c>
      <c r="B20">
        <v>100000</v>
      </c>
      <c r="C20" s="9">
        <v>100000</v>
      </c>
      <c r="D20">
        <v>100000</v>
      </c>
      <c r="E20">
        <v>100000</v>
      </c>
      <c r="F20">
        <v>100000</v>
      </c>
      <c r="K20" s="5" t="str">
        <f>goals!A1</f>
        <v>emissions of diesel trucks</v>
      </c>
      <c r="L20">
        <v>100</v>
      </c>
      <c r="M20" s="9">
        <v>100</v>
      </c>
      <c r="N20">
        <v>100</v>
      </c>
      <c r="O20">
        <v>100</v>
      </c>
      <c r="P20">
        <v>100</v>
      </c>
    </row>
    <row r="21" spans="1:17" ht="47.25" x14ac:dyDescent="0.25">
      <c r="A21" s="5" t="str">
        <f>hubs!A2</f>
        <v>maximum funds per unit of time</v>
      </c>
      <c r="B21">
        <v>10000</v>
      </c>
      <c r="C21" s="9">
        <v>10000</v>
      </c>
      <c r="D21">
        <v>10000</v>
      </c>
      <c r="E21">
        <v>10000</v>
      </c>
      <c r="F21">
        <v>10000</v>
      </c>
      <c r="K21" s="5" t="str">
        <f>goals!A2</f>
        <v>emissions of environmetally friendly vehicle types</v>
      </c>
      <c r="L21">
        <v>1</v>
      </c>
      <c r="M21" s="9">
        <v>1</v>
      </c>
      <c r="N21">
        <v>1</v>
      </c>
      <c r="O21">
        <v>1</v>
      </c>
      <c r="P21">
        <v>1</v>
      </c>
    </row>
    <row r="22" spans="1:17" x14ac:dyDescent="0.25">
      <c r="A22" s="5" t="str">
        <f>hubs!A3</f>
        <v>minimum utilization rate</v>
      </c>
      <c r="B22">
        <v>0.9</v>
      </c>
      <c r="C22" s="9">
        <v>0.9</v>
      </c>
      <c r="D22">
        <v>0.9</v>
      </c>
      <c r="E22">
        <v>0.9</v>
      </c>
      <c r="F22">
        <v>0.9</v>
      </c>
      <c r="K22" s="5" t="str">
        <f>goals!A3</f>
        <v>goal of co2 emissions</v>
      </c>
      <c r="L22">
        <v>300000000</v>
      </c>
      <c r="M22" s="9">
        <v>300000000</v>
      </c>
      <c r="N22">
        <v>300000000</v>
      </c>
      <c r="O22">
        <v>300000000</v>
      </c>
      <c r="P22">
        <v>300000000</v>
      </c>
    </row>
    <row r="23" spans="1:17" ht="31.5" x14ac:dyDescent="0.25">
      <c r="A23" s="5" t="str">
        <f>hubs!A4</f>
        <v>adjustment time for total utilized capacity</v>
      </c>
      <c r="B23">
        <v>24</v>
      </c>
      <c r="C23" s="9">
        <v>24</v>
      </c>
      <c r="D23">
        <v>24</v>
      </c>
      <c r="E23">
        <v>24</v>
      </c>
      <c r="F23">
        <v>24</v>
      </c>
      <c r="K23" s="5" t="str">
        <f>goals!A4</f>
        <v>goal of vehicle km</v>
      </c>
      <c r="L23">
        <f>2*10^13</f>
        <v>20000000000000</v>
      </c>
      <c r="M23" s="9">
        <f>2*10^13</f>
        <v>20000000000000</v>
      </c>
      <c r="N23">
        <f>2*10^13</f>
        <v>20000000000000</v>
      </c>
      <c r="O23">
        <f>2*10^13</f>
        <v>20000000000000</v>
      </c>
      <c r="P23">
        <f>2*10^13</f>
        <v>20000000000000</v>
      </c>
    </row>
    <row r="24" spans="1:17" ht="31.5" x14ac:dyDescent="0.25">
      <c r="A24" s="5" t="str">
        <f>hubs!A5</f>
        <v>total demand</v>
      </c>
      <c r="B24" s="3">
        <f>'variable assumptions and source'!B8</f>
        <v>3338155.3681021542</v>
      </c>
      <c r="C24" s="10">
        <f>'variable assumptions and source'!B8</f>
        <v>3338155.3681021542</v>
      </c>
      <c r="D24" s="3">
        <f>'variable assumptions and source'!B8</f>
        <v>3338155.3681021542</v>
      </c>
      <c r="E24" s="3">
        <f>'variable assumptions and source'!B8</f>
        <v>3338155.3681021542</v>
      </c>
      <c r="F24" s="3">
        <f>'variable assumptions and source'!B8</f>
        <v>3338155.3681021542</v>
      </c>
      <c r="K24" s="5" t="str">
        <f>goals!A5</f>
        <v>goal of co2 emissions on off</v>
      </c>
      <c r="L24">
        <v>1</v>
      </c>
      <c r="M24" s="9">
        <v>1</v>
      </c>
      <c r="N24">
        <v>1</v>
      </c>
      <c r="O24">
        <v>1</v>
      </c>
      <c r="P24">
        <v>1</v>
      </c>
    </row>
    <row r="25" spans="1:17" ht="31.5" x14ac:dyDescent="0.25">
      <c r="A25" s="5" t="str">
        <f>hubs!A6</f>
        <v>single hub capacity</v>
      </c>
      <c r="B25">
        <v>300000</v>
      </c>
      <c r="C25" s="9">
        <v>300000</v>
      </c>
      <c r="D25">
        <v>300000</v>
      </c>
      <c r="E25">
        <v>300000</v>
      </c>
      <c r="F25">
        <v>300000</v>
      </c>
      <c r="K25" s="5" t="str">
        <f>goals!A6</f>
        <v>goal of vehicle km on off</v>
      </c>
      <c r="L25">
        <v>1</v>
      </c>
      <c r="M25" s="9">
        <v>1</v>
      </c>
      <c r="N25">
        <v>1</v>
      </c>
      <c r="O25">
        <v>1</v>
      </c>
      <c r="P25">
        <v>1</v>
      </c>
    </row>
    <row r="26" spans="1:17" x14ac:dyDescent="0.25">
      <c r="A26" s="5" t="str">
        <f>hubs!A7</f>
        <v>public sector funds on off</v>
      </c>
      <c r="B26">
        <v>1</v>
      </c>
      <c r="C26" s="9">
        <v>1</v>
      </c>
      <c r="D26">
        <v>1</v>
      </c>
      <c r="E26">
        <v>1</v>
      </c>
      <c r="F26">
        <v>1</v>
      </c>
    </row>
    <row r="27" spans="1:17" x14ac:dyDescent="0.25">
      <c r="A27" s="5" t="str">
        <f>hubs!A8</f>
        <v>private sector funds on off</v>
      </c>
      <c r="B27">
        <v>0</v>
      </c>
      <c r="C27" s="9">
        <v>0</v>
      </c>
      <c r="D27">
        <v>0</v>
      </c>
      <c r="E27">
        <v>1</v>
      </c>
      <c r="F27">
        <v>1</v>
      </c>
    </row>
    <row r="28" spans="1:17" ht="31.5" x14ac:dyDescent="0.25">
      <c r="A28" s="5" t="str">
        <f>hubs!A9</f>
        <v>percentage of profit for hubs funds</v>
      </c>
      <c r="B28">
        <v>0</v>
      </c>
      <c r="C28" s="9">
        <v>0</v>
      </c>
      <c r="D28">
        <v>0</v>
      </c>
      <c r="E28">
        <v>0.5</v>
      </c>
      <c r="F28">
        <v>0.5</v>
      </c>
    </row>
    <row r="29" spans="1:17" ht="31.5" x14ac:dyDescent="0.25">
      <c r="A29" s="5" t="str">
        <f>hubs!A10</f>
        <v>adjustment time for adding hubs</v>
      </c>
      <c r="B29">
        <v>24</v>
      </c>
      <c r="C29" s="9">
        <v>24</v>
      </c>
      <c r="D29">
        <v>24</v>
      </c>
      <c r="E29">
        <v>24</v>
      </c>
      <c r="F29">
        <v>24</v>
      </c>
    </row>
    <row r="33" spans="1:6" x14ac:dyDescent="0.25">
      <c r="B33" t="s">
        <v>70</v>
      </c>
    </row>
    <row r="34" spans="1:6" x14ac:dyDescent="0.25">
      <c r="B34">
        <v>0</v>
      </c>
      <c r="C34">
        <v>1</v>
      </c>
      <c r="D34">
        <v>2</v>
      </c>
      <c r="E34">
        <v>3</v>
      </c>
      <c r="F34">
        <v>4</v>
      </c>
    </row>
    <row r="35" spans="1:6" x14ac:dyDescent="0.25">
      <c r="A35" s="5" t="str">
        <f>efficiencies!A1</f>
        <v>initial routing efficiency</v>
      </c>
      <c r="B35">
        <v>0.7</v>
      </c>
      <c r="C35" s="9">
        <v>0.7</v>
      </c>
      <c r="D35">
        <v>0.7</v>
      </c>
      <c r="E35">
        <v>0.7</v>
      </c>
      <c r="F35">
        <v>0.7</v>
      </c>
    </row>
    <row r="36" spans="1:6" x14ac:dyDescent="0.25">
      <c r="A36" s="5" t="str">
        <f>efficiencies!A2</f>
        <v>maximum routing efficiency</v>
      </c>
      <c r="B36">
        <v>0.9</v>
      </c>
      <c r="C36" s="9">
        <v>0.9</v>
      </c>
      <c r="D36">
        <v>0.9</v>
      </c>
      <c r="E36">
        <v>0.9</v>
      </c>
      <c r="F36">
        <v>0.95</v>
      </c>
    </row>
    <row r="37" spans="1:6" x14ac:dyDescent="0.25">
      <c r="A37" s="5" t="str">
        <f>efficiencies!A3</f>
        <v>initial fill rate</v>
      </c>
      <c r="B37">
        <v>0.6</v>
      </c>
      <c r="C37" s="9">
        <v>0.6</v>
      </c>
      <c r="D37">
        <v>0.6</v>
      </c>
      <c r="E37">
        <v>0.6</v>
      </c>
      <c r="F37">
        <v>0.6</v>
      </c>
    </row>
    <row r="38" spans="1:6" x14ac:dyDescent="0.25">
      <c r="A38" s="5" t="str">
        <f>efficiencies!A4</f>
        <v>maximum fill rate</v>
      </c>
      <c r="B38">
        <v>0.8</v>
      </c>
      <c r="C38" s="9">
        <v>0.8</v>
      </c>
      <c r="D38">
        <v>0.8</v>
      </c>
      <c r="E38">
        <v>0.8</v>
      </c>
      <c r="F38">
        <v>0.9</v>
      </c>
    </row>
    <row r="39" spans="1:6" x14ac:dyDescent="0.25">
      <c r="A39" s="5" t="str">
        <f>efficiencies!A5</f>
        <v>minimum delivery time</v>
      </c>
      <c r="B39">
        <v>3</v>
      </c>
      <c r="C39" s="9">
        <v>3</v>
      </c>
      <c r="D39">
        <v>3</v>
      </c>
      <c r="E39">
        <v>3</v>
      </c>
      <c r="F39">
        <v>3</v>
      </c>
    </row>
    <row r="40" spans="1:6" x14ac:dyDescent="0.25">
      <c r="A40" s="5" t="str">
        <f>efficiencies!A6</f>
        <v>initial delivery time</v>
      </c>
      <c r="B40">
        <v>5</v>
      </c>
      <c r="C40" s="9">
        <v>5</v>
      </c>
      <c r="D40">
        <v>5</v>
      </c>
      <c r="E40">
        <v>5</v>
      </c>
      <c r="F40">
        <v>5</v>
      </c>
    </row>
    <row r="41" spans="1:6" ht="47.25" x14ac:dyDescent="0.25">
      <c r="A41" s="5" t="str">
        <f>efficiencies!A7</f>
        <v>multiplier for effect of using hub capacity on increase in routing efficiency</v>
      </c>
      <c r="B41">
        <v>5</v>
      </c>
      <c r="C41" s="9">
        <v>5</v>
      </c>
      <c r="D41">
        <v>5</v>
      </c>
      <c r="E41">
        <v>5</v>
      </c>
      <c r="F41">
        <v>5</v>
      </c>
    </row>
    <row r="42" spans="1:6" ht="47.25" x14ac:dyDescent="0.25">
      <c r="A42" s="5" t="str">
        <f>efficiencies!A8</f>
        <v>multiplier for effect of using hub capacity on increase in fill rate</v>
      </c>
      <c r="B42">
        <v>5</v>
      </c>
      <c r="C42" s="9">
        <v>5</v>
      </c>
      <c r="D42">
        <v>5</v>
      </c>
      <c r="E42">
        <v>5</v>
      </c>
      <c r="F42">
        <v>5</v>
      </c>
    </row>
    <row r="43" spans="1:6" ht="47.25" x14ac:dyDescent="0.25">
      <c r="A43" s="5" t="str">
        <f>efficiencies!A9</f>
        <v>multiplier for effect of using hub capacity on decrease in delivery time</v>
      </c>
      <c r="B43">
        <v>5</v>
      </c>
      <c r="C43" s="9">
        <v>5</v>
      </c>
      <c r="D43">
        <v>5</v>
      </c>
      <c r="E43">
        <v>5</v>
      </c>
      <c r="F43">
        <v>5</v>
      </c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638175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2022-12-20T15:05:03Z</dcterms:modified>
</cp:coreProperties>
</file>