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5" yWindow="-660" windowWidth="28035" windowHeight="9420" activeTab="5"/>
  </bookViews>
  <sheets>
    <sheet name="variable assumptions and source" sheetId="6" r:id="rId1"/>
    <sheet name="company" sheetId="1" r:id="rId2"/>
    <sheet name="hubs" sheetId="2" r:id="rId3"/>
    <sheet name="cost" sheetId="4" r:id="rId4"/>
    <sheet name="emissions" sheetId="5" r:id="rId5"/>
    <sheet name="scenarios" sheetId="7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7" l="1"/>
  <c r="K22" i="7"/>
  <c r="K20" i="7"/>
  <c r="K6" i="7"/>
  <c r="K7" i="7"/>
  <c r="K8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E24" i="7"/>
  <c r="F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<sst xmlns="http://schemas.openxmlformats.org/spreadsheetml/2006/main" count="66" uniqueCount="55">
  <si>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</si>
  <si>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</si>
  <si>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</si>
  <si>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</si>
  <si>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</si>
  <si>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</si>
  <si>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</si>
  <si>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</si>
  <si>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</si>
  <si>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hubs location variable</t>
  </si>
  <si>
    <t>initial routing and consolidation efficiency</t>
  </si>
  <si>
    <t>total operation cost of one hub</t>
  </si>
  <si>
    <t>[0,1]</t>
  </si>
  <si>
    <t>$/Month</t>
  </si>
  <si>
    <t>minimum operation cost</t>
  </si>
  <si>
    <t>initial push time</t>
  </si>
  <si>
    <t>initial company adoption fraction</t>
  </si>
  <si>
    <t>emissions of diesel trucks</t>
  </si>
  <si>
    <t>emissions of environmetally friendly vehicle types</t>
  </si>
  <si>
    <t>CO2/box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</si>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</sst>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2" t="s">
        <v>31</v>
      </c>
      <c r="B1" s="12"/>
      <c r="C1" s="12"/>
    </row>
    <row r="2" spans="1:4" x14ac:dyDescent="0.25">
      <c r="A2" s="5" t="s">
        <v>32</v>
      </c>
      <c r="B2" s="1">
        <v>10173195</v>
      </c>
      <c r="C2" t="s">
        <v>35</v>
      </c>
    </row>
    <row r="3" spans="1:4" x14ac:dyDescent="0.25">
      <c r="A3" s="5" t="s">
        <v>33</v>
      </c>
      <c r="B3" s="1">
        <v>1656571</v>
      </c>
      <c r="C3" t="s">
        <v>34</v>
      </c>
    </row>
    <row r="4" spans="1:4" ht="31.5" x14ac:dyDescent="0.25">
      <c r="A4" s="5" t="s">
        <v>36</v>
      </c>
      <c r="B4">
        <f>B3/B2</f>
        <v>0.16283684722449535</v>
      </c>
    </row>
    <row r="5" spans="1:4" x14ac:dyDescent="0.25">
      <c r="A5" s="5" t="s">
        <v>40</v>
      </c>
      <c r="B5" s="3">
        <f>1.8055*10^9</f>
        <v>1805500000</v>
      </c>
      <c r="C5" t="s">
        <v>37</v>
      </c>
    </row>
    <row r="6" spans="1:4" x14ac:dyDescent="0.25">
      <c r="A6" s="5" t="s">
        <v>38</v>
      </c>
      <c r="B6" s="3">
        <f>246*10^6</f>
        <v>246000000</v>
      </c>
      <c r="C6" t="s">
        <v>37</v>
      </c>
      <c r="D6" t="s">
        <v>39</v>
      </c>
    </row>
    <row r="7" spans="1:4" ht="31.5" x14ac:dyDescent="0.25">
      <c r="A7" s="5" t="s">
        <v>41</v>
      </c>
      <c r="B7" s="6">
        <f>B6*B4</f>
        <v>40057864.417225853</v>
      </c>
    </row>
    <row r="8" spans="1:4" ht="31.5" x14ac:dyDescent="0.25">
      <c r="A8" s="5" t="s">
        <v>42</v>
      </c>
      <c r="B8" s="4">
        <f>B7/12</f>
        <v>3338155.3681021542</v>
      </c>
    </row>
    <row r="12" spans="1:4" x14ac:dyDescent="0.25">
      <c r="A12" s="12" t="s">
        <v>43</v>
      </c>
      <c r="B12" s="12"/>
      <c r="C12" s="12"/>
    </row>
    <row r="13" spans="1:4" ht="31.5" x14ac:dyDescent="0.25">
      <c r="A13" s="5" t="s">
        <v>44</v>
      </c>
      <c r="B13" s="7">
        <v>1503.7</v>
      </c>
      <c r="C13" s="8" t="s">
        <v>45</v>
      </c>
      <c r="D13" t="s">
        <v>49</v>
      </c>
    </row>
    <row r="14" spans="1:4" x14ac:dyDescent="0.25">
      <c r="A14" t="s">
        <v>46</v>
      </c>
      <c r="B14">
        <f>B13*B4</f>
        <v>244.85776717147365</v>
      </c>
      <c r="C14" s="8" t="s">
        <v>45</v>
      </c>
    </row>
    <row r="15" spans="1:4" x14ac:dyDescent="0.25">
      <c r="A15" t="s">
        <v>47</v>
      </c>
      <c r="B15" s="3">
        <f>B14/B8</f>
        <v>7.3351219512195133E-5</v>
      </c>
      <c r="C15" s="8" t="s">
        <v>45</v>
      </c>
    </row>
    <row r="16" spans="1:4" x14ac:dyDescent="0.25">
      <c r="A16" t="s">
        <v>47</v>
      </c>
      <c r="B16" s="2">
        <f>B15*10^6</f>
        <v>73.351219512195129</v>
      </c>
      <c r="C16" s="8" t="s">
        <v>48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12" sqref="C12"/>
    </sheetView>
  </sheetViews>
  <sheetFormatPr defaultColWidth="11" defaultRowHeight="15.75" x14ac:dyDescent="0.25"/>
  <cols>
    <col min="1" max="1" width="29.75" bestFit="1" customWidth="1"/>
    <col min="2" max="2" width="12.25" bestFit="1" customWidth="1"/>
  </cols>
  <sheetData>
    <row r="1" spans="1:3" x14ac:dyDescent="0.25">
      <c r="A1" t="s">
        <v>0</v>
      </c>
      <c r="B1">
        <v>100</v>
      </c>
      <c r="C1" t="s">
        <v>23</v>
      </c>
    </row>
    <row r="2" spans="1:3" x14ac:dyDescent="0.25">
      <c r="A2" t="s">
        <v>1</v>
      </c>
      <c r="B2">
        <v>0.3</v>
      </c>
      <c r="C2" t="s">
        <v>24</v>
      </c>
    </row>
    <row r="3" spans="1:3" x14ac:dyDescent="0.25">
      <c r="A3" t="s">
        <v>16</v>
      </c>
      <c r="B3">
        <v>0.3</v>
      </c>
      <c r="C3" t="s">
        <v>24</v>
      </c>
    </row>
    <row r="4" spans="1:3" x14ac:dyDescent="0.25">
      <c r="A4" t="s">
        <v>15</v>
      </c>
      <c r="B4">
        <v>36</v>
      </c>
      <c r="C4" t="s">
        <v>25</v>
      </c>
    </row>
    <row r="5" spans="1:3" x14ac:dyDescent="0.25">
      <c r="A5" t="s">
        <v>30</v>
      </c>
      <c r="B5">
        <v>36</v>
      </c>
      <c r="C5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D14" sqref="D14"/>
    </sheetView>
  </sheetViews>
  <sheetFormatPr defaultColWidth="11" defaultRowHeight="15.75" x14ac:dyDescent="0.25"/>
  <cols>
    <col min="1" max="1" width="28.37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26</v>
      </c>
    </row>
    <row r="2" spans="1:3" x14ac:dyDescent="0.25">
      <c r="A2" t="s">
        <v>3</v>
      </c>
      <c r="B2">
        <v>10000</v>
      </c>
      <c r="C2" t="s">
        <v>27</v>
      </c>
    </row>
    <row r="3" spans="1:3" x14ac:dyDescent="0.25">
      <c r="A3" t="s">
        <v>22</v>
      </c>
      <c r="B3">
        <v>0.6</v>
      </c>
      <c r="C3" t="s">
        <v>8</v>
      </c>
    </row>
    <row r="4" spans="1:3" x14ac:dyDescent="0.25">
      <c r="A4" t="s">
        <v>28</v>
      </c>
      <c r="B4">
        <v>24</v>
      </c>
      <c r="C4" t="s">
        <v>29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>
      <selection activeCell="E18" sqref="E18"/>
    </sheetView>
  </sheetViews>
  <sheetFormatPr defaultRowHeight="15.75" x14ac:dyDescent="0.25"/>
  <cols>
    <col min="1" max="1" width="35.75" bestFit="1" customWidth="1"/>
  </cols>
  <sheetData>
    <row r="1" spans="1:4" x14ac:dyDescent="0.25">
      <c r="A1" t="s">
        <v>9</v>
      </c>
      <c r="B1">
        <v>0.1</v>
      </c>
      <c r="C1" t="s">
        <v>8</v>
      </c>
      <c r="D1" t="s">
        <v>12</v>
      </c>
    </row>
    <row r="2" spans="1:4" x14ac:dyDescent="0.25">
      <c r="A2" t="s">
        <v>10</v>
      </c>
      <c r="B2">
        <v>0.7</v>
      </c>
      <c r="C2" t="s">
        <v>8</v>
      </c>
      <c r="D2" t="s">
        <v>12</v>
      </c>
    </row>
    <row r="3" spans="1:4" x14ac:dyDescent="0.25">
      <c r="A3" t="s">
        <v>11</v>
      </c>
      <c r="B3">
        <v>100</v>
      </c>
      <c r="C3" t="s">
        <v>13</v>
      </c>
    </row>
    <row r="4" spans="1:4" x14ac:dyDescent="0.25">
      <c r="A4" t="s">
        <v>14</v>
      </c>
      <c r="B4">
        <v>1000</v>
      </c>
      <c r="C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E30" sqref="E30"/>
    </sheetView>
  </sheetViews>
  <sheetFormatPr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17</v>
      </c>
      <c r="B1">
        <v>100</v>
      </c>
      <c r="C1" t="s">
        <v>19</v>
      </c>
    </row>
    <row r="2" spans="1:3" x14ac:dyDescent="0.25">
      <c r="A2" t="s">
        <v>18</v>
      </c>
      <c r="B2">
        <v>1</v>
      </c>
      <c r="C2" t="s">
        <v>19</v>
      </c>
    </row>
    <row r="3" spans="1:3" x14ac:dyDescent="0.25">
      <c r="A3" t="s">
        <v>20</v>
      </c>
      <c r="B3">
        <v>300000000</v>
      </c>
      <c r="C3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workbookViewId="0">
      <selection activeCell="K23" sqref="K23"/>
    </sheetView>
  </sheetViews>
  <sheetFormatPr defaultRowHeight="15.75" x14ac:dyDescent="0.25"/>
  <cols>
    <col min="1" max="1" width="20.125" customWidth="1"/>
    <col min="11" max="11" width="20.375" customWidth="1"/>
  </cols>
  <sheetData>
    <row r="1" spans="1:23" x14ac:dyDescent="0.25">
      <c r="B1" s="13" t="s">
        <v>50</v>
      </c>
      <c r="C1" s="13"/>
      <c r="D1" s="13"/>
      <c r="E1" s="9">
        <v>0</v>
      </c>
    </row>
    <row r="3" spans="1:23" x14ac:dyDescent="0.25">
      <c r="A3" s="10"/>
      <c r="B3" s="10" t="s">
        <v>51</v>
      </c>
      <c r="C3" s="10"/>
      <c r="D3" s="10"/>
      <c r="E3" s="10"/>
      <c r="F3" s="10"/>
      <c r="G3" s="10"/>
      <c r="H3" s="10"/>
      <c r="I3" s="10"/>
      <c r="J3" s="10"/>
      <c r="K3" s="10"/>
      <c r="L3" s="10" t="s">
        <v>53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5">
      <c r="A4" s="10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0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x14ac:dyDescent="0.25">
      <c r="A5" s="10" t="str">
        <f>company!A1</f>
        <v>total number of companies</v>
      </c>
      <c r="B5" s="14">
        <v>100</v>
      </c>
      <c r="C5" s="10">
        <v>80</v>
      </c>
      <c r="D5" s="10">
        <v>60</v>
      </c>
      <c r="E5" s="10">
        <v>40</v>
      </c>
      <c r="F5" s="10">
        <v>20</v>
      </c>
      <c r="G5" s="10"/>
      <c r="H5" s="10"/>
      <c r="I5" s="10"/>
      <c r="J5" s="10"/>
      <c r="K5" s="10" t="str">
        <f>cost!A1</f>
        <v>hubs location variable</v>
      </c>
      <c r="L5" s="14">
        <v>0.1</v>
      </c>
      <c r="M5" s="10">
        <v>0.1</v>
      </c>
      <c r="N5" s="10">
        <v>0.1</v>
      </c>
      <c r="O5" s="10">
        <v>0.1</v>
      </c>
      <c r="P5" s="10">
        <v>0.1</v>
      </c>
      <c r="Q5" s="10"/>
      <c r="R5" s="10"/>
      <c r="S5" s="10"/>
      <c r="T5" s="10"/>
      <c r="U5" s="10"/>
      <c r="V5" s="10"/>
      <c r="W5" s="10"/>
    </row>
    <row r="6" spans="1:23" x14ac:dyDescent="0.25">
      <c r="A6" s="10" t="str">
        <f>company!A2</f>
        <v>company contact rate</v>
      </c>
      <c r="B6" s="14">
        <v>0.3</v>
      </c>
      <c r="C6" s="10">
        <v>0.2</v>
      </c>
      <c r="D6" s="10">
        <v>0.3</v>
      </c>
      <c r="E6" s="10">
        <v>0.3</v>
      </c>
      <c r="F6" s="10">
        <v>0.3</v>
      </c>
      <c r="G6" s="10"/>
      <c r="H6" s="10"/>
      <c r="I6" s="10"/>
      <c r="J6" s="10"/>
      <c r="K6" s="10" t="str">
        <f>cost!A2</f>
        <v>initial routing and consolidation efficiency</v>
      </c>
      <c r="L6" s="14">
        <v>0.7</v>
      </c>
      <c r="M6" s="10">
        <v>0.7</v>
      </c>
      <c r="N6" s="10">
        <v>0.7</v>
      </c>
      <c r="O6" s="10">
        <v>0.7</v>
      </c>
      <c r="P6" s="10">
        <v>0.7</v>
      </c>
      <c r="Q6" s="10"/>
      <c r="R6" s="10"/>
      <c r="S6" s="10"/>
      <c r="T6" s="10"/>
      <c r="U6" s="10"/>
      <c r="V6" s="10"/>
      <c r="W6" s="10"/>
    </row>
    <row r="7" spans="1:23" x14ac:dyDescent="0.25">
      <c r="A7" s="10" t="str">
        <f>company!A3</f>
        <v>initial company adoption fraction</v>
      </c>
      <c r="B7" s="14">
        <v>0.3</v>
      </c>
      <c r="C7" s="10">
        <v>0.2</v>
      </c>
      <c r="D7" s="10">
        <v>0.3</v>
      </c>
      <c r="E7" s="10">
        <v>0.3</v>
      </c>
      <c r="F7" s="10">
        <v>0.3</v>
      </c>
      <c r="G7" s="10"/>
      <c r="H7" s="10"/>
      <c r="I7" s="10"/>
      <c r="J7" s="10"/>
      <c r="K7" s="10" t="str">
        <f>cost!A3</f>
        <v>total operation cost of one hub</v>
      </c>
      <c r="L7" s="14">
        <v>100</v>
      </c>
      <c r="M7" s="10">
        <v>100</v>
      </c>
      <c r="N7" s="10">
        <v>100</v>
      </c>
      <c r="O7" s="10">
        <v>100</v>
      </c>
      <c r="P7" s="10">
        <v>100</v>
      </c>
      <c r="Q7" s="10"/>
      <c r="R7" s="10"/>
      <c r="S7" s="10"/>
      <c r="T7" s="10"/>
      <c r="U7" s="10"/>
      <c r="V7" s="10"/>
      <c r="W7" s="10"/>
    </row>
    <row r="8" spans="1:23" x14ac:dyDescent="0.25">
      <c r="A8" s="10" t="str">
        <f>company!A4</f>
        <v>initial push time</v>
      </c>
      <c r="B8" s="14">
        <v>36</v>
      </c>
      <c r="C8" s="10">
        <v>24</v>
      </c>
      <c r="D8" s="10">
        <v>36</v>
      </c>
      <c r="E8" s="10">
        <v>36</v>
      </c>
      <c r="F8" s="10">
        <v>36</v>
      </c>
      <c r="G8" s="10"/>
      <c r="H8" s="10"/>
      <c r="I8" s="10"/>
      <c r="J8" s="10"/>
      <c r="K8" s="10" t="str">
        <f>cost!A4</f>
        <v>minimum operation cost</v>
      </c>
      <c r="L8" s="14">
        <v>1000</v>
      </c>
      <c r="M8" s="10">
        <v>1000</v>
      </c>
      <c r="N8" s="10">
        <v>1000</v>
      </c>
      <c r="O8" s="10">
        <v>1000</v>
      </c>
      <c r="P8" s="10">
        <v>1000</v>
      </c>
      <c r="Q8" s="10"/>
      <c r="R8" s="10"/>
      <c r="S8" s="10"/>
      <c r="T8" s="10"/>
      <c r="U8" s="10"/>
      <c r="V8" s="10"/>
      <c r="W8" s="10"/>
    </row>
    <row r="9" spans="1:23" x14ac:dyDescent="0.25">
      <c r="A9" s="10" t="str">
        <f>company!A5</f>
        <v>average delay time in dropping out</v>
      </c>
      <c r="B9" s="14">
        <v>36</v>
      </c>
      <c r="C9" s="10">
        <v>24</v>
      </c>
      <c r="D9" s="10">
        <v>36</v>
      </c>
      <c r="E9" s="10">
        <v>36</v>
      </c>
      <c r="F9" s="10">
        <v>36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5">
      <c r="A18" s="10"/>
      <c r="B18" s="10" t="s">
        <v>52</v>
      </c>
      <c r="C18" s="10"/>
      <c r="D18" s="10"/>
      <c r="E18" s="10"/>
      <c r="F18" s="10"/>
      <c r="G18" s="10"/>
      <c r="H18" s="10"/>
      <c r="I18" s="10"/>
      <c r="J18" s="10"/>
      <c r="K18" s="10"/>
      <c r="L18" s="10" t="s">
        <v>54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10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0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x14ac:dyDescent="0.25">
      <c r="A20" s="10" t="str">
        <f>hubs!A1</f>
        <v>building cost of hubs</v>
      </c>
      <c r="B20" s="14">
        <v>100000</v>
      </c>
      <c r="C20" s="10">
        <v>100000</v>
      </c>
      <c r="D20" s="10">
        <v>100000</v>
      </c>
      <c r="E20" s="10">
        <v>100000</v>
      </c>
      <c r="F20" s="10">
        <v>100000</v>
      </c>
      <c r="G20" s="10"/>
      <c r="H20" s="10"/>
      <c r="I20" s="10"/>
      <c r="J20" s="10"/>
      <c r="K20" s="10" t="str">
        <f>emissions!A1</f>
        <v>emissions of diesel trucks</v>
      </c>
      <c r="L20" s="14">
        <v>100</v>
      </c>
      <c r="M20" s="10">
        <v>100</v>
      </c>
      <c r="N20" s="10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x14ac:dyDescent="0.25">
      <c r="A21" s="10" t="str">
        <f>hubs!A2</f>
        <v>maximum funds per unit of time</v>
      </c>
      <c r="B21" s="14">
        <v>10000</v>
      </c>
      <c r="C21" s="10">
        <v>10000</v>
      </c>
      <c r="D21" s="10">
        <v>10000</v>
      </c>
      <c r="E21" s="10">
        <v>10000</v>
      </c>
      <c r="F21" s="10">
        <v>10000</v>
      </c>
      <c r="G21" s="10"/>
      <c r="H21" s="10"/>
      <c r="I21" s="10"/>
      <c r="J21" s="10"/>
      <c r="K21" s="10" t="str">
        <f>emissions!A2</f>
        <v>emissions of environmetally friendly vehicle types</v>
      </c>
      <c r="L21" s="14">
        <v>1</v>
      </c>
      <c r="M21" s="10">
        <v>1</v>
      </c>
      <c r="N21" s="10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x14ac:dyDescent="0.25">
      <c r="A22" s="10" t="str">
        <f>hubs!A3</f>
        <v>minimum utilization rate</v>
      </c>
      <c r="B22" s="14">
        <v>0.6</v>
      </c>
      <c r="C22" s="10">
        <v>0.6</v>
      </c>
      <c r="D22" s="10">
        <v>0.6</v>
      </c>
      <c r="E22" s="10">
        <v>0.6</v>
      </c>
      <c r="F22" s="10">
        <v>0.6</v>
      </c>
      <c r="G22" s="10"/>
      <c r="H22" s="10"/>
      <c r="I22" s="10"/>
      <c r="J22" s="10"/>
      <c r="K22" s="10" t="str">
        <f>emissions!A3</f>
        <v>goal of co2 emissions</v>
      </c>
      <c r="L22" s="14">
        <v>300000000</v>
      </c>
      <c r="M22" s="10">
        <v>300000000</v>
      </c>
      <c r="N22" s="10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x14ac:dyDescent="0.25">
      <c r="A23" s="10" t="str">
        <f>hubs!A4</f>
        <v>adjustment time for total utilized capacity</v>
      </c>
      <c r="B23" s="14">
        <v>24</v>
      </c>
      <c r="C23" s="10">
        <v>24</v>
      </c>
      <c r="D23" s="10">
        <v>24</v>
      </c>
      <c r="E23" s="10">
        <v>24</v>
      </c>
      <c r="F23" s="10">
        <v>24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x14ac:dyDescent="0.25">
      <c r="A24" s="10" t="str">
        <f>hubs!A5</f>
        <v>total demand</v>
      </c>
      <c r="B24" s="15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25">
      <c r="A25" s="10" t="str">
        <f>hubs!A6</f>
        <v>single hub capacity</v>
      </c>
      <c r="B25" s="14">
        <v>300000</v>
      </c>
      <c r="C25" s="10">
        <v>300000</v>
      </c>
      <c r="D25" s="10">
        <v>300000</v>
      </c>
      <c r="E25" s="10">
        <v>300000</v>
      </c>
      <c r="F25" s="10">
        <v>300000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628650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variable assumptions and source</vt:lpstr>
      <vt:lpstr>company</vt:lpstr>
      <vt:lpstr>hubs</vt:lpstr>
      <vt:lpstr>cost</vt:lpstr>
      <vt:lpstr>emissions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2021-09-17T15:13:50Z</dcterms:modified>
</cp:coreProperties>
</file>