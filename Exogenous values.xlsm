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5" yWindow="-660" windowWidth="28035" windowHeight="7560" activeTab="6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3" i="7" l="1"/>
  <c r="N23" i="7"/>
  <c r="L23" i="7"/>
  <c r="A36" i="7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24" i="7"/>
  <c r="C24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<sst xmlns="http://schemas.openxmlformats.org/spreadsheetml/2006/main" count="87" uniqueCount="71">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</sst>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/>
    <xf numFmtId="1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3" t="s">
        <v>26</v>
      </c>
      <c r="B1" s="13"/>
      <c r="C1" s="13"/>
    </row>
    <row r="2" spans="1:4" x14ac:dyDescent="0.25">
      <c r="A2" s="5" t="s">
        <v>27</v>
      </c>
      <c r="B2" s="1">
        <v>10173195</v>
      </c>
      <c r="C2" t="s">
        <v>30</v>
      </c>
    </row>
    <row r="3" spans="1:4" x14ac:dyDescent="0.25">
      <c r="A3" s="5" t="s">
        <v>28</v>
      </c>
      <c r="B3" s="1">
        <v>1656571</v>
      </c>
      <c r="C3" t="s">
        <v>29</v>
      </c>
    </row>
    <row r="4" spans="1:4" ht="31.5" x14ac:dyDescent="0.25">
      <c r="A4" s="5" t="s">
        <v>31</v>
      </c>
      <c r="B4">
        <f>B3/B2</f>
        <v>0.16283684722449535</v>
      </c>
    </row>
    <row r="5" spans="1:4" x14ac:dyDescent="0.25">
      <c r="A5" s="5" t="s">
        <v>35</v>
      </c>
      <c r="B5" s="3">
        <f>1.8055*10^9</f>
        <v>1805500000</v>
      </c>
      <c r="C5" t="s">
        <v>32</v>
      </c>
    </row>
    <row r="6" spans="1:4" x14ac:dyDescent="0.25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5" x14ac:dyDescent="0.25">
      <c r="A7" s="5" t="s">
        <v>36</v>
      </c>
      <c r="B7" s="6">
        <f>B6*B4</f>
        <v>40057864.417225853</v>
      </c>
    </row>
    <row r="8" spans="1:4" ht="31.5" x14ac:dyDescent="0.25">
      <c r="A8" s="5" t="s">
        <v>37</v>
      </c>
      <c r="B8" s="4">
        <f>B7/12</f>
        <v>3338155.3681021542</v>
      </c>
    </row>
    <row r="12" spans="1:4" x14ac:dyDescent="0.25">
      <c r="A12" s="13" t="s">
        <v>38</v>
      </c>
      <c r="B12" s="13"/>
      <c r="C12" s="13"/>
    </row>
    <row r="13" spans="1:4" ht="31.5" x14ac:dyDescent="0.25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25">
      <c r="A14" t="s">
        <v>41</v>
      </c>
      <c r="B14">
        <f>B13*B4</f>
        <v>244.85776717147365</v>
      </c>
      <c r="C14" s="8" t="s">
        <v>40</v>
      </c>
    </row>
    <row r="15" spans="1:4" x14ac:dyDescent="0.25">
      <c r="A15" t="s">
        <v>42</v>
      </c>
      <c r="B15" s="3">
        <f>B14/B8</f>
        <v>7.3351219512195133E-5</v>
      </c>
      <c r="C15" s="8" t="s">
        <v>40</v>
      </c>
    </row>
    <row r="16" spans="1:4" x14ac:dyDescent="0.25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36" sqref="C36"/>
    </sheetView>
  </sheetViews>
  <sheetFormatPr defaultColWidth="11" defaultRowHeight="15.75" x14ac:dyDescent="0.25"/>
  <cols>
    <col min="1" max="1" width="29.75" bestFit="1" customWidth="1"/>
    <col min="2" max="2" width="12.25" bestFit="1" customWidth="1"/>
  </cols>
  <sheetData>
    <row r="1" spans="1:3" x14ac:dyDescent="0.25">
      <c r="A1" t="s">
        <v>0</v>
      </c>
      <c r="B1">
        <v>100</v>
      </c>
      <c r="C1" t="s">
        <v>18</v>
      </c>
    </row>
    <row r="2" spans="1:3" x14ac:dyDescent="0.25">
      <c r="A2" t="s">
        <v>1</v>
      </c>
      <c r="B2">
        <v>0.3</v>
      </c>
      <c r="C2" t="s">
        <v>19</v>
      </c>
    </row>
    <row r="3" spans="1:3" x14ac:dyDescent="0.25">
      <c r="A3" t="s">
        <v>12</v>
      </c>
      <c r="B3">
        <v>0</v>
      </c>
      <c r="C3" t="s">
        <v>19</v>
      </c>
    </row>
    <row r="4" spans="1:3" x14ac:dyDescent="0.25">
      <c r="A4" t="s">
        <v>11</v>
      </c>
      <c r="B4">
        <v>0</v>
      </c>
      <c r="C4" t="s">
        <v>20</v>
      </c>
    </row>
    <row r="5" spans="1:3" x14ac:dyDescent="0.25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8" sqref="A8"/>
    </sheetView>
  </sheetViews>
  <sheetFormatPr defaultColWidth="11" defaultRowHeight="15.75" x14ac:dyDescent="0.25"/>
  <cols>
    <col min="1" max="1" width="36.7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21</v>
      </c>
    </row>
    <row r="2" spans="1:3" x14ac:dyDescent="0.25">
      <c r="A2" t="s">
        <v>3</v>
      </c>
      <c r="B2">
        <v>10000</v>
      </c>
      <c r="C2" t="s">
        <v>22</v>
      </c>
    </row>
    <row r="3" spans="1:3" x14ac:dyDescent="0.25">
      <c r="A3" t="s">
        <v>17</v>
      </c>
      <c r="B3">
        <v>0.6</v>
      </c>
      <c r="C3" t="s">
        <v>8</v>
      </c>
    </row>
    <row r="4" spans="1:3" x14ac:dyDescent="0.25">
      <c r="A4" t="s">
        <v>23</v>
      </c>
      <c r="B4">
        <v>24</v>
      </c>
      <c r="C4" t="s">
        <v>24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50</v>
      </c>
      <c r="B7">
        <v>0</v>
      </c>
      <c r="C7" t="s">
        <v>8</v>
      </c>
    </row>
    <row r="8" spans="1:3" x14ac:dyDescent="0.25">
      <c r="A8" t="s">
        <v>51</v>
      </c>
      <c r="B8">
        <v>0</v>
      </c>
      <c r="C8" t="s">
        <v>8</v>
      </c>
    </row>
    <row r="9" spans="1:3" x14ac:dyDescent="0.25">
      <c r="A9" t="s">
        <v>52</v>
      </c>
      <c r="B9">
        <v>0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B1" sqref="B1:B5"/>
    </sheetView>
  </sheetViews>
  <sheetFormatPr defaultRowHeight="15.75" x14ac:dyDescent="0.25"/>
  <cols>
    <col min="1" max="1" width="47.875" bestFit="1" customWidth="1"/>
  </cols>
  <sheetData>
    <row r="1" spans="1:3" x14ac:dyDescent="0.25">
      <c r="A1" t="s">
        <v>9</v>
      </c>
      <c r="B1">
        <v>100</v>
      </c>
      <c r="C1" t="s">
        <v>10</v>
      </c>
    </row>
    <row r="2" spans="1:3" x14ac:dyDescent="0.25">
      <c r="A2" t="s">
        <v>65</v>
      </c>
      <c r="B2">
        <v>1</v>
      </c>
      <c r="C2" t="s">
        <v>53</v>
      </c>
    </row>
    <row r="3" spans="1:3" x14ac:dyDescent="0.25">
      <c r="A3" t="s">
        <v>66</v>
      </c>
      <c r="B3">
        <v>1</v>
      </c>
      <c r="C3" t="s">
        <v>54</v>
      </c>
    </row>
    <row r="4" spans="1:3" x14ac:dyDescent="0.25">
      <c r="A4" t="s">
        <v>55</v>
      </c>
      <c r="B4">
        <v>100</v>
      </c>
      <c r="C4" t="s">
        <v>57</v>
      </c>
    </row>
    <row r="5" spans="1:3" x14ac:dyDescent="0.25">
      <c r="A5" t="s">
        <v>56</v>
      </c>
      <c r="B5">
        <v>100</v>
      </c>
      <c r="C5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D25" sqref="D25"/>
    </sheetView>
  </sheetViews>
  <sheetFormatPr defaultRowHeight="15.75" x14ac:dyDescent="0.25"/>
  <cols>
    <col min="1" max="1" width="23.75" bestFit="1" customWidth="1"/>
  </cols>
  <sheetData>
    <row r="1" spans="1:3" x14ac:dyDescent="0.25">
      <c r="A1" t="s">
        <v>59</v>
      </c>
      <c r="B1">
        <v>0.7</v>
      </c>
      <c r="C1" t="s">
        <v>8</v>
      </c>
    </row>
    <row r="2" spans="1:3" x14ac:dyDescent="0.25">
      <c r="A2" t="s">
        <v>60</v>
      </c>
      <c r="B2">
        <v>1</v>
      </c>
      <c r="C2" t="s">
        <v>8</v>
      </c>
    </row>
    <row r="3" spans="1:3" x14ac:dyDescent="0.25">
      <c r="A3" t="s">
        <v>61</v>
      </c>
      <c r="B3">
        <v>0.6</v>
      </c>
      <c r="C3" t="s">
        <v>8</v>
      </c>
    </row>
    <row r="4" spans="1:3" x14ac:dyDescent="0.25">
      <c r="A4" t="s">
        <v>62</v>
      </c>
      <c r="B4">
        <v>1</v>
      </c>
      <c r="C4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B4" sqref="B4:B6"/>
    </sheetView>
  </sheetViews>
  <sheetFormatPr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13</v>
      </c>
      <c r="B1">
        <v>100</v>
      </c>
      <c r="C1" t="s">
        <v>67</v>
      </c>
    </row>
    <row r="2" spans="1:3" x14ac:dyDescent="0.25">
      <c r="A2" t="s">
        <v>14</v>
      </c>
      <c r="B2">
        <v>1</v>
      </c>
      <c r="C2" t="s">
        <v>67</v>
      </c>
    </row>
    <row r="3" spans="1:3" x14ac:dyDescent="0.25">
      <c r="A3" t="s">
        <v>15</v>
      </c>
      <c r="B3">
        <v>300000000</v>
      </c>
      <c r="C3" t="s">
        <v>16</v>
      </c>
    </row>
    <row r="4" spans="1:3" x14ac:dyDescent="0.25">
      <c r="A4" t="s">
        <v>63</v>
      </c>
      <c r="B4">
        <v>10000000000000</v>
      </c>
      <c r="C4" t="s">
        <v>64</v>
      </c>
    </row>
    <row r="5" spans="1:3" x14ac:dyDescent="0.25">
      <c r="A5" t="s">
        <v>68</v>
      </c>
      <c r="B5">
        <v>1</v>
      </c>
      <c r="C5" t="s">
        <v>8</v>
      </c>
    </row>
    <row r="6" spans="1:3" x14ac:dyDescent="0.25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zoomScale="80" zoomScaleNormal="80" workbookViewId="0">
      <selection activeCell="B35" sqref="B35:D38"/>
    </sheetView>
  </sheetViews>
  <sheetFormatPr defaultRowHeight="15.75" x14ac:dyDescent="0.25"/>
  <cols>
    <col min="1" max="1" width="20.125" style="5" customWidth="1"/>
    <col min="11" max="11" width="20.375" style="5" customWidth="1"/>
  </cols>
  <sheetData>
    <row r="1" spans="1:23" x14ac:dyDescent="0.25">
      <c r="B1" s="14" t="s">
        <v>45</v>
      </c>
      <c r="C1" s="14"/>
      <c r="D1" s="14"/>
      <c r="E1" s="9">
        <v>0</v>
      </c>
    </row>
    <row r="3" spans="1:23" x14ac:dyDescent="0.25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25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/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/>
      <c r="R4" s="10"/>
      <c r="S4" s="10"/>
      <c r="T4" s="10"/>
      <c r="U4" s="10"/>
      <c r="V4" s="10"/>
      <c r="W4" s="10"/>
    </row>
    <row r="5" spans="1:23" ht="31.5" x14ac:dyDescent="0.25">
      <c r="A5" s="12" t="str">
        <f>company!A1</f>
        <v>total number of companies</v>
      </c>
      <c r="B5" s="15">
        <v>100</v>
      </c>
      <c r="C5" s="10">
        <v>100</v>
      </c>
      <c r="D5" s="10">
        <v>100</v>
      </c>
      <c r="E5" s="10"/>
      <c r="F5" s="10"/>
      <c r="G5" s="10"/>
      <c r="H5" s="10"/>
      <c r="I5" s="10"/>
      <c r="J5" s="10"/>
      <c r="K5" s="12" t="str">
        <f>cost!A1</f>
        <v>total operation cost of one hub</v>
      </c>
      <c r="L5" s="15">
        <v>100</v>
      </c>
      <c r="M5" s="15">
        <v>100</v>
      </c>
      <c r="N5" s="15">
        <v>100</v>
      </c>
      <c r="O5" s="10"/>
      <c r="P5" s="10"/>
      <c r="Q5" s="10"/>
      <c r="R5" s="10"/>
      <c r="S5" s="10"/>
      <c r="T5" s="10"/>
      <c r="U5" s="10"/>
      <c r="V5" s="10"/>
      <c r="W5" s="10"/>
    </row>
    <row r="6" spans="1:23" ht="31.5" x14ac:dyDescent="0.25">
      <c r="A6" s="12" t="str">
        <f>company!A2</f>
        <v>company contact rate</v>
      </c>
      <c r="B6" s="15">
        <v>0.3</v>
      </c>
      <c r="C6" s="10">
        <v>0.3</v>
      </c>
      <c r="D6" s="10">
        <v>0.3</v>
      </c>
      <c r="E6" s="10"/>
      <c r="F6" s="10"/>
      <c r="G6" s="10"/>
      <c r="H6" s="10"/>
      <c r="I6" s="10"/>
      <c r="J6" s="10"/>
      <c r="K6" s="12" t="str">
        <f>cost!A2</f>
        <v>minimum number of vehicles required to satisfy the demand</v>
      </c>
      <c r="L6" s="15">
        <v>1</v>
      </c>
      <c r="M6" s="15">
        <v>1</v>
      </c>
      <c r="N6" s="15">
        <v>1</v>
      </c>
      <c r="O6" s="10"/>
      <c r="P6" s="10"/>
      <c r="Q6" s="10"/>
      <c r="R6" s="10"/>
      <c r="S6" s="10"/>
      <c r="T6" s="10"/>
      <c r="U6" s="10"/>
      <c r="V6" s="10"/>
      <c r="W6" s="10"/>
    </row>
    <row r="7" spans="1:23" ht="31.5" x14ac:dyDescent="0.25">
      <c r="A7" s="12" t="str">
        <f>company!A3</f>
        <v>initial company adoption fraction</v>
      </c>
      <c r="B7" s="15">
        <v>0</v>
      </c>
      <c r="C7" s="10">
        <v>0.3</v>
      </c>
      <c r="D7" s="10">
        <v>0.3</v>
      </c>
      <c r="E7" s="10"/>
      <c r="F7" s="10"/>
      <c r="G7" s="10"/>
      <c r="H7" s="10"/>
      <c r="I7" s="10"/>
      <c r="J7" s="10"/>
      <c r="K7" s="12" t="str">
        <f>cost!A3</f>
        <v>minimum km required to satisfy the demand</v>
      </c>
      <c r="L7" s="15">
        <v>1</v>
      </c>
      <c r="M7" s="15">
        <v>1</v>
      </c>
      <c r="N7" s="15">
        <v>1</v>
      </c>
      <c r="O7" s="10"/>
      <c r="P7" s="10"/>
      <c r="Q7" s="10"/>
      <c r="R7" s="10"/>
      <c r="S7" s="10"/>
      <c r="T7" s="10"/>
      <c r="U7" s="10"/>
      <c r="V7" s="10"/>
      <c r="W7" s="10"/>
    </row>
    <row r="8" spans="1:23" ht="31.5" x14ac:dyDescent="0.25">
      <c r="A8" s="12" t="str">
        <f>company!A4</f>
        <v>initial push time</v>
      </c>
      <c r="B8" s="15">
        <v>0</v>
      </c>
      <c r="C8" s="10">
        <v>36</v>
      </c>
      <c r="D8" s="10">
        <v>36</v>
      </c>
      <c r="E8" s="10"/>
      <c r="F8" s="10"/>
      <c r="G8" s="10"/>
      <c r="H8" s="10"/>
      <c r="I8" s="10"/>
      <c r="J8" s="10"/>
      <c r="K8" s="12" t="str">
        <f>cost!A4</f>
        <v>cost per vehicle</v>
      </c>
      <c r="L8" s="15">
        <v>100</v>
      </c>
      <c r="M8" s="15">
        <v>100</v>
      </c>
      <c r="N8" s="15">
        <v>100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31.5" x14ac:dyDescent="0.25">
      <c r="A9" s="12" t="str">
        <f>company!A5</f>
        <v>average delay time in dropping out</v>
      </c>
      <c r="B9" s="15">
        <v>36</v>
      </c>
      <c r="C9" s="10">
        <v>36</v>
      </c>
      <c r="D9" s="10">
        <v>36</v>
      </c>
      <c r="E9" s="10"/>
      <c r="F9" s="10"/>
      <c r="G9" s="10"/>
      <c r="H9" s="10"/>
      <c r="I9" s="10"/>
      <c r="J9" s="10"/>
      <c r="K9" s="12" t="str">
        <f>cost!A5</f>
        <v>cost per km</v>
      </c>
      <c r="L9" s="15">
        <v>100</v>
      </c>
      <c r="M9" s="15">
        <v>100</v>
      </c>
      <c r="N9" s="15">
        <v>100</v>
      </c>
      <c r="O9" s="10"/>
      <c r="P9" s="10"/>
      <c r="Q9" s="10"/>
      <c r="R9" s="10"/>
      <c r="S9" s="10"/>
      <c r="T9" s="10"/>
      <c r="U9" s="10"/>
      <c r="V9" s="10"/>
      <c r="W9" s="10"/>
    </row>
    <row r="10" spans="1:23" x14ac:dyDescent="0.25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x14ac:dyDescent="0.25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25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25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25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25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25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25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25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25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/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/>
      <c r="R19" s="10"/>
      <c r="S19" s="10"/>
      <c r="T19" s="10"/>
      <c r="U19" s="10"/>
      <c r="V19" s="10"/>
      <c r="W19" s="10"/>
    </row>
    <row r="20" spans="1:23" ht="31.5" x14ac:dyDescent="0.25">
      <c r="A20" s="12" t="str">
        <f>hubs!A1</f>
        <v>building cost of hubs</v>
      </c>
      <c r="B20" s="15">
        <v>100000</v>
      </c>
      <c r="C20" s="10">
        <v>100000</v>
      </c>
      <c r="D20" s="10">
        <v>100000</v>
      </c>
      <c r="E20" s="10"/>
      <c r="F20" s="10"/>
      <c r="G20" s="10"/>
      <c r="H20" s="10"/>
      <c r="I20" s="10"/>
      <c r="J20" s="10"/>
      <c r="K20" s="12" t="str">
        <f>goals!A1</f>
        <v>emissions of diesel trucks</v>
      </c>
      <c r="L20" s="15">
        <v>100</v>
      </c>
      <c r="M20" s="15">
        <v>100</v>
      </c>
      <c r="N20" s="15">
        <v>100</v>
      </c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47.25" x14ac:dyDescent="0.25">
      <c r="A21" s="12" t="str">
        <f>hubs!A2</f>
        <v>maximum funds per unit of time</v>
      </c>
      <c r="B21" s="15">
        <v>10000</v>
      </c>
      <c r="C21" s="10">
        <v>10000</v>
      </c>
      <c r="D21" s="10">
        <v>10000</v>
      </c>
      <c r="E21" s="10"/>
      <c r="F21" s="10"/>
      <c r="G21" s="10"/>
      <c r="H21" s="10"/>
      <c r="I21" s="10"/>
      <c r="J21" s="10"/>
      <c r="K21" s="12" t="str">
        <f>goals!A2</f>
        <v>emissions of environmetally friendly vehicle types</v>
      </c>
      <c r="L21" s="15">
        <v>1</v>
      </c>
      <c r="M21" s="15">
        <v>1</v>
      </c>
      <c r="N21" s="15">
        <v>1</v>
      </c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31.5" x14ac:dyDescent="0.25">
      <c r="A22" s="12" t="str">
        <f>hubs!A3</f>
        <v>minimum utilization rate</v>
      </c>
      <c r="B22" s="15">
        <v>0.6</v>
      </c>
      <c r="C22" s="10">
        <v>0.6</v>
      </c>
      <c r="D22" s="10">
        <v>0.6</v>
      </c>
      <c r="E22" s="10"/>
      <c r="F22" s="10"/>
      <c r="G22" s="10"/>
      <c r="H22" s="10"/>
      <c r="I22" s="10"/>
      <c r="J22" s="10"/>
      <c r="K22" s="12" t="str">
        <f>goals!A3</f>
        <v>goal of co2 emissions</v>
      </c>
      <c r="L22" s="15">
        <v>300000000</v>
      </c>
      <c r="M22" s="15">
        <v>300000000</v>
      </c>
      <c r="N22" s="15">
        <v>300000000</v>
      </c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31.5" x14ac:dyDescent="0.25">
      <c r="A23" s="12" t="str">
        <f>hubs!A4</f>
        <v>adjustment time for total utilized capacity</v>
      </c>
      <c r="B23" s="15">
        <v>24</v>
      </c>
      <c r="C23" s="10">
        <v>24</v>
      </c>
      <c r="D23" s="10">
        <v>24</v>
      </c>
      <c r="E23" s="10"/>
      <c r="F23" s="10"/>
      <c r="G23" s="10"/>
      <c r="H23" s="10"/>
      <c r="I23" s="10"/>
      <c r="J23" s="10"/>
      <c r="K23" s="12" t="str">
        <f>goals!A4</f>
        <v>goal of vehicle km</v>
      </c>
      <c r="L23" s="15">
        <f>1*10^13</f>
        <v>10000000000000</v>
      </c>
      <c r="M23" s="15">
        <f t="shared" ref="M23:N23" si="0">1*10^13</f>
        <v>10000000000000</v>
      </c>
      <c r="N23" s="15">
        <f t="shared" si="0"/>
        <v>10000000000000</v>
      </c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47.25" x14ac:dyDescent="0.25">
      <c r="A24" s="12" t="str">
        <f>hubs!A5</f>
        <v>total demand</v>
      </c>
      <c r="B24" s="16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6"/>
      <c r="F24" s="6"/>
      <c r="G24" s="10"/>
      <c r="H24" s="10"/>
      <c r="I24" s="10"/>
      <c r="J24" s="10"/>
      <c r="K24" s="12" t="str">
        <f>goals!A5</f>
        <v>goal of co2 emissions on off</v>
      </c>
      <c r="L24" s="15">
        <v>1</v>
      </c>
      <c r="M24" s="15">
        <v>1</v>
      </c>
      <c r="N24" s="15">
        <v>1</v>
      </c>
      <c r="O24" s="10"/>
      <c r="P24" s="10"/>
      <c r="Q24" s="10"/>
      <c r="R24" s="10"/>
      <c r="S24" s="10"/>
      <c r="T24" s="10"/>
      <c r="U24" s="10"/>
      <c r="V24" s="10"/>
      <c r="W24" s="10"/>
    </row>
    <row r="25" spans="1:23" x14ac:dyDescent="0.25">
      <c r="A25" s="12" t="str">
        <f>hubs!A6</f>
        <v>single hub capacity</v>
      </c>
      <c r="B25" s="15">
        <v>300000</v>
      </c>
      <c r="C25" s="10">
        <v>300000</v>
      </c>
      <c r="D25" s="10">
        <v>300000</v>
      </c>
      <c r="E25" s="10"/>
      <c r="F25" s="10"/>
      <c r="G25" s="10"/>
      <c r="H25" s="10"/>
      <c r="I25" s="10"/>
      <c r="J25" s="10"/>
      <c r="K25" s="12" t="str">
        <f>goals!A6</f>
        <v>goal of vehicle km on off</v>
      </c>
      <c r="L25" s="15">
        <v>1</v>
      </c>
      <c r="M25" s="15">
        <v>1</v>
      </c>
      <c r="N25" s="15">
        <v>1</v>
      </c>
      <c r="O25" s="10"/>
      <c r="P25" s="10"/>
      <c r="Q25" s="10"/>
      <c r="R25" s="10"/>
      <c r="S25" s="10"/>
      <c r="T25" s="10"/>
      <c r="U25" s="10"/>
      <c r="V25" s="10"/>
      <c r="W25" s="10"/>
    </row>
    <row r="26" spans="1:23" x14ac:dyDescent="0.25">
      <c r="A26" s="12" t="str">
        <f>hubs!A7</f>
        <v>public sector funds on off</v>
      </c>
      <c r="B26" s="15">
        <v>0</v>
      </c>
      <c r="C26" s="10">
        <v>1</v>
      </c>
      <c r="D26" s="10">
        <v>1</v>
      </c>
      <c r="E26" s="10"/>
      <c r="F26" s="10"/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31.5" x14ac:dyDescent="0.25">
      <c r="A27" s="12" t="str">
        <f>hubs!A8</f>
        <v>private sector funds on off</v>
      </c>
      <c r="B27" s="15">
        <v>0</v>
      </c>
      <c r="C27" s="10">
        <v>0</v>
      </c>
      <c r="D27" s="10">
        <v>1</v>
      </c>
      <c r="E27" s="10"/>
      <c r="F27" s="10"/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5" x14ac:dyDescent="0.25">
      <c r="A28" s="12" t="str">
        <f>hubs!A9</f>
        <v>percentage of profit for hubs funds</v>
      </c>
      <c r="B28" s="15">
        <v>0</v>
      </c>
      <c r="C28" s="10">
        <v>0</v>
      </c>
      <c r="D28" s="10">
        <v>0.5</v>
      </c>
      <c r="E28" s="10"/>
      <c r="F28" s="10"/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25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25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25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25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25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25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31.5" x14ac:dyDescent="0.25">
      <c r="A35" s="12" t="str">
        <f>efficiencies!A1</f>
        <v>initial routing efficiency</v>
      </c>
      <c r="B35" s="15">
        <v>0.7</v>
      </c>
      <c r="C35" s="15">
        <v>0.7</v>
      </c>
      <c r="D35" s="15">
        <v>0.7</v>
      </c>
      <c r="E35" s="10"/>
      <c r="F35" s="10"/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31.5" x14ac:dyDescent="0.25">
      <c r="A36" s="12" t="str">
        <f>efficiencies!A2</f>
        <v>maximum routing efficiency</v>
      </c>
      <c r="B36" s="15">
        <v>1</v>
      </c>
      <c r="C36" s="15">
        <v>1</v>
      </c>
      <c r="D36" s="15">
        <v>1</v>
      </c>
      <c r="E36" s="10"/>
      <c r="F36" s="10"/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25">
      <c r="A37" s="12" t="str">
        <f>efficiencies!A3</f>
        <v>initial fill rate</v>
      </c>
      <c r="B37" s="15">
        <v>0.6</v>
      </c>
      <c r="C37" s="15">
        <v>0.6</v>
      </c>
      <c r="D37" s="15">
        <v>0.6</v>
      </c>
      <c r="E37" s="10"/>
      <c r="F37" s="10"/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25">
      <c r="A38" s="12" t="str">
        <f>efficiencies!A4</f>
        <v>maximum fill rate</v>
      </c>
      <c r="B38" s="15">
        <v>1</v>
      </c>
      <c r="C38" s="15">
        <v>1</v>
      </c>
      <c r="D38" s="15">
        <v>1</v>
      </c>
      <c r="E38" s="10"/>
      <c r="F38" s="10"/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25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25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628650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2021-10-05T14:46:14Z</dcterms:modified>
</cp:coreProperties>
</file>